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Objects="none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bguj\"/>
    </mc:Choice>
  </mc:AlternateContent>
  <xr:revisionPtr revIDLastSave="0" documentId="13_ncr:1_{D129E873-C52F-478E-A897-2D798CB7C9D4}" xr6:coauthVersionLast="47" xr6:coauthVersionMax="47" xr10:uidLastSave="{00000000-0000-0000-0000-000000000000}"/>
  <bookViews>
    <workbookView xWindow="-108" yWindow="-108" windowWidth="16608" windowHeight="8832" activeTab="1" xr2:uid="{2461809B-7CC8-4CC2-A918-2A1ACF19AA2A}"/>
  </bookViews>
  <sheets>
    <sheet name="Agency List" sheetId="12" r:id="rId1"/>
    <sheet name="Tender" sheetId="13" r:id="rId2"/>
    <sheet name="Notice wise" sheetId="11" r:id="rId3"/>
    <sheet name="Agency wise" sheetId="14" r:id="rId4"/>
    <sheet name="Sub Division wise" sheetId="16" r:id="rId5"/>
  </sheets>
  <functionGroups builtInGroupCount="19"/>
  <definedNames>
    <definedName name="_xlnm._FilterDatabase" localSheetId="0" hidden="1">'Agency List'!$A$1:$D$1</definedName>
    <definedName name="_xlnm._FilterDatabase" localSheetId="1" hidden="1">Tender!$A$1:$AI$73</definedName>
    <definedName name="_xlnm.Print_Area" localSheetId="1">Tender!$A$1:$AI$1</definedName>
    <definedName name="_xlnm.Print_Titles" localSheetId="1">Tender!$1:$1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3" l="1"/>
  <c r="I5" i="11" l="1"/>
  <c r="I17" i="11"/>
  <c r="I18" i="11"/>
  <c r="I19" i="11"/>
  <c r="I20" i="11"/>
  <c r="I9" i="11"/>
  <c r="I10" i="11"/>
  <c r="I11" i="11"/>
  <c r="I13" i="11"/>
  <c r="I14" i="11"/>
  <c r="I15" i="11"/>
  <c r="I6" i="11"/>
  <c r="I12" i="11"/>
  <c r="I16" i="11"/>
  <c r="I7" i="11"/>
  <c r="I8" i="11"/>
  <c r="I4" i="11"/>
  <c r="I3" i="11"/>
  <c r="I2" i="11"/>
  <c r="K3" i="11" l="1"/>
  <c r="K15" i="11"/>
  <c r="K12" i="11"/>
  <c r="K10" i="11"/>
  <c r="K16" i="11"/>
  <c r="K9" i="11"/>
  <c r="K5" i="11"/>
  <c r="K4" i="11"/>
  <c r="K2" i="11"/>
</calcChain>
</file>

<file path=xl/sharedStrings.xml><?xml version="1.0" encoding="utf-8"?>
<sst xmlns="http://schemas.openxmlformats.org/spreadsheetml/2006/main" count="1256" uniqueCount="628">
  <si>
    <t>Bhavnagar</t>
  </si>
  <si>
    <t>Umrala</t>
  </si>
  <si>
    <t>Palitana</t>
  </si>
  <si>
    <t>Talaja</t>
  </si>
  <si>
    <t>SOMNATH ENTERPRISE</t>
  </si>
  <si>
    <t>Vallabhipur</t>
  </si>
  <si>
    <t>Mahuva</t>
  </si>
  <si>
    <t>Shihor</t>
  </si>
  <si>
    <t>OM CONSTRUCTION CO.</t>
  </si>
  <si>
    <t>C M VAGHELA</t>
  </si>
  <si>
    <t>V K ENTERPRISE</t>
  </si>
  <si>
    <t>V M SOJITRA</t>
  </si>
  <si>
    <t>SHIV DHARA ENTERPRISE</t>
  </si>
  <si>
    <t>MOGAL CONSTRUCTION</t>
  </si>
  <si>
    <t>DEEPALI CONSTRUCTION</t>
  </si>
  <si>
    <t>Tender Notice No.</t>
  </si>
  <si>
    <t>Grand Total</t>
  </si>
  <si>
    <t>Shyam Construction</t>
  </si>
  <si>
    <t>Superintending Engineer, Panchayat Road and Building Circle-2, Rajkot</t>
  </si>
  <si>
    <t>R J Bhammar Construction</t>
  </si>
  <si>
    <t>BABUBHAI HAKABHAI GOHIL</t>
  </si>
  <si>
    <t>BRIJRAJ CONSTRUCTION</t>
  </si>
  <si>
    <t>2025-26</t>
  </si>
  <si>
    <t>R M DASA INFRASTRUCTURE PVT. LTD.</t>
  </si>
  <si>
    <t>KRISHNA CONSTRUCTION</t>
  </si>
  <si>
    <t>VIJAYBHAI MOHANBHAI SINDHAV</t>
  </si>
  <si>
    <t>Construction of Pati Chogath Road Km 0/0 to 2/100, Ta. Vallabhipur Dist. Bhavnagar</t>
  </si>
  <si>
    <t>Construction To Roads of Bhavnagar District Package No. RPC-2/BVN/MMGSY/Normal/2024-25/P.03 Ta. Mahuva, Dist. Bhavnagar</t>
  </si>
  <si>
    <t>Construction To Roads of Bhavnagar District Package No. RPC-2/BVN/MMGSY/Normal/2024-25/P.01 Ta. Gariyadhar, Dist. Bhavnagar</t>
  </si>
  <si>
    <t>Construction New Structure of Bhavnagar District Package No. RPC-2/BVN/MMGSY/Normal/2023-24/P.11 Ta. Mahuva</t>
  </si>
  <si>
    <t>(blank)</t>
  </si>
  <si>
    <t>Contract Awarded</t>
  </si>
  <si>
    <t>Proposal Sent</t>
  </si>
  <si>
    <t>Tender Approved</t>
  </si>
  <si>
    <t>LoA Sent</t>
  </si>
  <si>
    <t>Work Order Given</t>
  </si>
  <si>
    <t>Sub Notices</t>
  </si>
  <si>
    <t>Name of Agency</t>
  </si>
  <si>
    <t>Address</t>
  </si>
  <si>
    <t>Name of Proprietor</t>
  </si>
  <si>
    <t>VANRAJSINH BOGHUBHA SARVAIYA</t>
  </si>
  <si>
    <t>RPC-2/Tender/Bhav/60</t>
  </si>
  <si>
    <t>Re-Invite</t>
  </si>
  <si>
    <t>Construction Cement Concrete Roads of Bhavnagar District Package No. RPC-2/BVN/Suvidhapath/2024-25/P.02 Ta. Palitana, Dist. Bhavnagar</t>
  </si>
  <si>
    <t>Resurfacing to Roads of Bhavnagar District Package No. RPC-2/BVN/MMGSY/Normal/2024-25/P.10 Taluka and Dist. Bhavnagar</t>
  </si>
  <si>
    <t>SR To Paldi Ganeshgadh Road (NP BT) Km.0/000 to 2/550 Ta.Gariyadhar, Dist. Bhavnagar</t>
  </si>
  <si>
    <t>Resurfacing to Roads of Bhavnagar District Package No. RPC-2/BVN/MMGSY/Normal/2024-25/P.08 Ta. Talaja , Dist. Bhavnagar</t>
  </si>
  <si>
    <t>Improvement and Routine Maintenance of Vadiya Ukharla Road (Vadiya Usrad Pipaliya Road) (ODR) Km.0/000 -5/100 Ta. Shihor, Dist. Bhavnagar</t>
  </si>
  <si>
    <t>Resurfacing to Roads of Bhavnagar District Package No.RPC-2/BVN/MMGSY/Normal/2024-25/P.01 Ta. Vallabhipur, Dist. Bhavnagar</t>
  </si>
  <si>
    <t>Construction to Roads of Bhavnagar District Package No.RPC-2/BVN/MMGSY/Normal/2024-25/P.02 Ta. Mahuva, Dist. Bhavnagar</t>
  </si>
  <si>
    <t>Construction to Roads of Bhavnagar District Package No. RPC-2/BVN/MMGSY/Khas Angbhut/2024-25/P.01 Ta. Mahuva , Dist. Bhavnagar</t>
  </si>
  <si>
    <t>Resurfacing of Dundas to Pipalava Road (MDR) Km. 0/000 to 3/200 Ta. Mahuva , Dist. Bhavnagar</t>
  </si>
  <si>
    <t>Construction of Budhel to Malanka Road (NP) Km.0/000 to 4/250 Taluka And Dist. Bhavnagar</t>
  </si>
  <si>
    <t>Resurfacing to Roads of Bhavnagar District Package No. RPC-2/BVN/MMGSY/Normal/2024-25/P.03 Ta. Mahuva , Dist. Bhavnagar</t>
  </si>
  <si>
    <t>Resurfacing of Konjali Kalela Boradi Road (MDR) Km.0/000 to 8/000 Ta. Mahuva, Dist. Bhavnagar</t>
  </si>
  <si>
    <t>Resurfacing to Roads of Bhavnagar District Package No. RPC-2/BVN/MMGSY/Normal/2024-25/P.09 Taluka and Dist. Bhavnagar</t>
  </si>
  <si>
    <t>Special Repairs Roads of Bhavnagar District Package No. RPC-2/BVN/Spaecial Repairs/2023-24/P.31 Ta. Palitana, Dist. Bhavnagar</t>
  </si>
  <si>
    <t>Construction Cement Concrete Roads of Bhavnagar District Package No. RPC-2/BVN/Suvidhapath/2024-25/P.11 Ta. Umrala, Dist. Bhavnagar</t>
  </si>
  <si>
    <t>Construction of Cement Concrete Roads of Bhavnagar District Package No. RPC-2/BVN/Suvidhapath/2024-25/P.10 Ta. Umrala, Dist. Bhavnagar</t>
  </si>
  <si>
    <t>Construction Cement Concrete Roads of Bhavnagar District Package No. RPC-2/BVN/Suvidhapath/2024-25/P.01 Ta. Palitana, Dist. Bhavnagar</t>
  </si>
  <si>
    <t>RPC-2/Tender/Bhav/64</t>
  </si>
  <si>
    <t>SHOP NO. 7, FIRST FLOOR, AKSHAR RESIDENCY, GIRIRAJ MAIN ROAD,  JUNAGADH - 362001</t>
  </si>
  <si>
    <t>RPC-2/Tender/Bhav/58</t>
  </si>
  <si>
    <t>J B GOHIL</t>
  </si>
  <si>
    <t>JAYRAJSINH BHUPATSINH GOHIL</t>
  </si>
  <si>
    <t>C. H. Gohil</t>
  </si>
  <si>
    <t>HARPALSINH AMARSINH SARVAIYA</t>
  </si>
  <si>
    <t>CHATURBHAI MOHANBHAI VAGHELA</t>
  </si>
  <si>
    <t>Mo. No.</t>
  </si>
  <si>
    <t>4th Floor, Akshar Plaza-1, Diksha Nagar, Zanzarda Chokadi, Junagadh- 362001</t>
  </si>
  <si>
    <t>D. H. Gohil</t>
  </si>
  <si>
    <t>KRISHNA CONSTRUCTION, DHOLA</t>
  </si>
  <si>
    <t>PANCHABHAI BAVDINBHAI KUVADIYA</t>
  </si>
  <si>
    <t>Bhupendrasinh Sujansinh Gohil</t>
  </si>
  <si>
    <t>308- Swara Park Lane, Behind Sanskar Mandal, Joggers Park, Near Atabhai Chowk, Bhavnagar- 364002</t>
  </si>
  <si>
    <t>DINESHBHAI VASHRAMBHAI PADAYA,</t>
  </si>
  <si>
    <t>PRUTHVI CORPORATION</t>
  </si>
  <si>
    <t>GULABSINH LAKHUBHAI SARVAIYA</t>
  </si>
  <si>
    <t xml:space="preserve">BHUMI CONSTRUCTION </t>
  </si>
  <si>
    <t>Block No 101, 1st Floor, Shraddha Complex, Opp. Ganga hall, Amin Marg, Rajkot-360001</t>
  </si>
  <si>
    <t>Narendrasinh Parbatsinh Gohil</t>
  </si>
  <si>
    <t>SAI GEOTECHNICAL LAB</t>
  </si>
  <si>
    <t>A-13, Basement, Panchratna Apartment, Subhanpura Road, Vadodara - 390023</t>
  </si>
  <si>
    <t>Mahesh Vallabhbhai Savani</t>
  </si>
  <si>
    <t>MIHIR RAJENDRABHAI MANDALIYA</t>
  </si>
  <si>
    <t>SHRI KRISHNA CONSTRUCTION</t>
  </si>
  <si>
    <t>KAIRAV CONSTRUCTION</t>
  </si>
  <si>
    <t>JATINKUMAR RAMESHBHAI GOYANI</t>
  </si>
  <si>
    <t>BHADRESHSINH BHAGWATSING GOHIL</t>
  </si>
  <si>
    <t>JAY PAVER BLOCK</t>
  </si>
  <si>
    <t>JAY DHIRUBHAI BHALIYA</t>
  </si>
  <si>
    <t>HAREKRISHNA CONSTRUCTION</t>
  </si>
  <si>
    <t>Dineshbhai Harjibhai Parmar</t>
  </si>
  <si>
    <t>SHUBH CONSTRUCTION</t>
  </si>
  <si>
    <t>VARAHI CONSTRUCTION</t>
  </si>
  <si>
    <t>SADGURU CONSTRUCTION</t>
  </si>
  <si>
    <t>SHIV CONSTRUCTION</t>
  </si>
  <si>
    <t>VEERAJ HITESHBHAI OZA</t>
  </si>
  <si>
    <t>ZABBICS</t>
  </si>
  <si>
    <t>Aarti Construction</t>
  </si>
  <si>
    <t>VIVEK CONSTRUCTION</t>
  </si>
  <si>
    <t>G.K.S. Construction Enterprise</t>
  </si>
  <si>
    <t>RAMESHBHAI GANGDASBHAI SANKALIYA</t>
  </si>
  <si>
    <t>V V CONSTRUCTION</t>
  </si>
  <si>
    <t>SITARAM CONSTRUCTION</t>
  </si>
  <si>
    <t>HITENDRASINH GAMBHIRSINH ZALA</t>
  </si>
  <si>
    <t>GAYATRI ENGINEERING</t>
  </si>
  <si>
    <t>YOGENDRASINH GOHIL, TULSIBHAI SHAMJIBHAI VANANI</t>
  </si>
  <si>
    <t>KRUNAL KAMLESHBHAI PATEL</t>
  </si>
  <si>
    <t>NANKUBHAI DUDABHAI BARAL</t>
  </si>
  <si>
    <t>Maa Mogal Enterprise</t>
  </si>
  <si>
    <t>Radhe Construction</t>
  </si>
  <si>
    <t>SHIV CONSTRUCTION, AMRELI</t>
  </si>
  <si>
    <t>KANJIBHAI RAMESHBHAI BARAIYA</t>
  </si>
  <si>
    <t>S G ENTERPRISE</t>
  </si>
  <si>
    <t>J K CONSTRUCTION</t>
  </si>
  <si>
    <t>UPENDRAKUMAR JAGDISHBHAI JOSHI</t>
  </si>
  <si>
    <t>BHAGYALAXMI CONSTRUCTION</t>
  </si>
  <si>
    <t>CHETANSINH BHUPATSINH SARVAIYA</t>
  </si>
  <si>
    <t>PRADIPSINH VANRAJSINH GOHIL</t>
  </si>
  <si>
    <t>SANDIP N PATEL</t>
  </si>
  <si>
    <t>SANDIP NITINKUMAR PATEL</t>
  </si>
  <si>
    <t>SHIV BUILDERS</t>
  </si>
  <si>
    <t>FIRST FLOOR, FLT NO.101, MADHAV COMPLEX, SHASTRI NAGAR BHAVNAGAR-364001</t>
  </si>
  <si>
    <t>PLOT NO 916, AIR PORT ROAD, SAVINAY SOCIETY, PATEL PARK, MUNI DERI BHAVNAGAR-364001</t>
  </si>
  <si>
    <t>78/3, KOLIVAS WADI VISTAR, LILIVAV, TALAJA, BHAVNAGAR-364050</t>
  </si>
  <si>
    <t>42-Patel Sheri, Sundariyana, Ranpur, Dist. Botad-382255</t>
  </si>
  <si>
    <t>Hathab, Vaya-Koliyak, Dist. Bhavnagar-364070</t>
  </si>
  <si>
    <t>Shelana, Savarkudala, Dist. Amreli-364525</t>
  </si>
  <si>
    <t>314, Third Floor, Surabhi Mall, Waghawadi Road, BHAVNAGAR-364001</t>
  </si>
  <si>
    <t>MOTI JAGDHAR, MAHUVA, 
BHAVNAGAR-364295</t>
  </si>
  <si>
    <t>House No.757, Nr. Ramdevpir Mandir Temple, Dihor, Talaja, Bhavnagar-364150</t>
  </si>
  <si>
    <t>Moti Jagdhar, Ta. Mahuva, Bhavnagar-364295</t>
  </si>
  <si>
    <t>82/1, Bajaran Society, Near Gayatri Temple, Chitra, Bhavnagar-364004</t>
  </si>
  <si>
    <t>UMARLA, Ta. TALAJA, Dist. BHAVNAGAR-364150</t>
  </si>
  <si>
    <t>Shetrunji Dam, Nani Paniyali, Palitana, Bhavnagar-364270</t>
  </si>
  <si>
    <t>Fist Floor, Ananddham Park-1, Plot No.59, Vinchhiya Jasdan Road, Survey No.753, Rajkot-360050</t>
  </si>
  <si>
    <t>A-204, LEELA EFCEE, WAGHAWADI ROAD, BHAVNAGAR-364001</t>
  </si>
  <si>
    <t>FF-22, Virbhadrasinhji Shopping Center, Nilambaug, BHAVNAGAR-364001</t>
  </si>
  <si>
    <t>Shop No.26, First Floor, Sadguru Complex, Nr. Nari Chowkadi Circle, Bhavnagar-364001</t>
  </si>
  <si>
    <t>BHAVANI CONSTRUCTION COMPANY</t>
  </si>
  <si>
    <t>RANJITBHAI BAHADURBHAI VALA</t>
  </si>
  <si>
    <t>RAMDEVSINH SATUBHA GOHIL</t>
  </si>
  <si>
    <t>ASHAPURA CONSTRUCTION</t>
  </si>
  <si>
    <t>Universal associates</t>
  </si>
  <si>
    <t>Construction of Sanala To Sanala Cutting Road (NP) Km.0/000 to 1/400 Ta. Jesar, Dist. Bhavnagar</t>
  </si>
  <si>
    <t>SAMIR H SAIYAD</t>
  </si>
  <si>
    <t>VASHRAMBHAI BIJALBHAI AND CO</t>
  </si>
  <si>
    <t>CHAUHAN LALJIBHAI ARJANBHAI</t>
  </si>
  <si>
    <t>Row Labels</t>
  </si>
  <si>
    <t>Sum of Contract Price</t>
  </si>
  <si>
    <t>Road and Building Department, Ganghinagar</t>
  </si>
  <si>
    <t>RBD/TRF/e-file/16/2025/2856/Section D1</t>
  </si>
  <si>
    <t>RBD/TRF/e-file/16/2025/2855/Section D1</t>
  </si>
  <si>
    <t>RBD/TRF/e-file/16/2025/2863/Section D1</t>
  </si>
  <si>
    <t>RBD/TRF/e-file/16/2025/2862/Section D1</t>
  </si>
  <si>
    <t>RBD/TRF/e-file/16/2025/2861/Section D1</t>
  </si>
  <si>
    <t>VCPROJECT &amp; INFRA PVT. LTD.</t>
  </si>
  <si>
    <t>RBD/TRF/e-file/16/2025/2864/Section D1</t>
  </si>
  <si>
    <t>RBD/TRF/e-file/16/2025/2865/Section D1</t>
  </si>
  <si>
    <t>RBD/TRF/e-file/16/2025/2859/Section D1</t>
  </si>
  <si>
    <t>RBD/TRF/e-file/16/2025/3192/Section D1</t>
  </si>
  <si>
    <t>RPC-2/Tender/Bhav/95</t>
  </si>
  <si>
    <t>RPC-2/Tender/Bhav/96</t>
  </si>
  <si>
    <t>RPC-2/Tender/Bhav/97</t>
  </si>
  <si>
    <t>RPC-2/Tender/Bhav/98</t>
  </si>
  <si>
    <t>RPC-2/Tender/Bhav/99</t>
  </si>
  <si>
    <t>RPC-2/Tender/Bhav/100</t>
  </si>
  <si>
    <t>RPC-2/Tender/Bhav/101</t>
  </si>
  <si>
    <t>RPC-2/Tender/Bhav/102</t>
  </si>
  <si>
    <t>RPC-2/Tender/Bhav/103</t>
  </si>
  <si>
    <t>RPC-2/Tender/Bhav/105</t>
  </si>
  <si>
    <t>RPC-2/Tender/Bhav/106</t>
  </si>
  <si>
    <t>RPC-2/Tender/Bhav/107</t>
  </si>
  <si>
    <t>RPC-2/Tender/Bhav/104</t>
  </si>
  <si>
    <t>Gariyadhar</t>
  </si>
  <si>
    <t>JAY KANDHAL CONSTRUCTION</t>
  </si>
  <si>
    <t>Jesar</t>
  </si>
  <si>
    <t>SHIV CONTRUCTION</t>
  </si>
  <si>
    <t>UDAYBHAI R. LUNSAR</t>
  </si>
  <si>
    <t>SANDIP DINESHBHAI VANZARA</t>
  </si>
  <si>
    <t>ASHOKBHAI PARSHOTAMBHAI
BARAIYA</t>
  </si>
  <si>
    <t>MAYANKKUMAR JAYANTIBHAI GODHANI</t>
  </si>
  <si>
    <t>DEV CONSTRUCTION</t>
  </si>
  <si>
    <t>RBD/TRF/e-file/16/2025/3350/Section D1</t>
  </si>
  <si>
    <t>RBD/TRF/e-file/16/2025/3302/Section D1</t>
  </si>
  <si>
    <t>RBD/TRF/e-file/16/2025/3304/Section D1</t>
  </si>
  <si>
    <t>RBD/TRF/e-file/16/2025/3487/Section D1</t>
  </si>
  <si>
    <t>RBD/TRF/e-file/16/2025/3300/Section D1</t>
  </si>
  <si>
    <t>RPC-2/Tender/Bhav/63</t>
  </si>
  <si>
    <t>RPC-2/Tender/Bhav/62</t>
  </si>
  <si>
    <t>RPC-2/Tender/Bhav/59</t>
  </si>
  <si>
    <t>RPC-2/Tender/Bhav/61</t>
  </si>
  <si>
    <t>Universal Associates</t>
  </si>
  <si>
    <t>Ashapura Construction</t>
  </si>
  <si>
    <t>"Ashapura Nivas", Shivaji Nagar, Talaja, Ta. Talaja Dist. Bhavnagar</t>
  </si>
  <si>
    <t>Proprietor</t>
  </si>
  <si>
    <t>Partner</t>
  </si>
  <si>
    <t>Dr. Ambedkar Society, Jamvali Road, Palitana, Dist Bhavnagar</t>
  </si>
  <si>
    <t>MOTI PANIYALI, Via. Po. SHETRUNJI, Ta. PALITANA, Dist. BHAVNAGAR-364270</t>
  </si>
  <si>
    <t>Vijaysinh Jamsinh Gohil, At Po. Pachhegam, Ta. Vallabhipur Dist. Bhavnagar</t>
  </si>
  <si>
    <t>At. Vangadhra, Ta.Umrala, Dist. Bhavnagar</t>
  </si>
  <si>
    <t>At Gheti, Ramnagar Society, Ta. Palitana, Dist. Bhavnagar</t>
  </si>
  <si>
    <t>88, Rajapara (Thadach), Ta. Palitana, Dist. Bhavnagar</t>
  </si>
  <si>
    <t>Shop No. 131/B, First Floor, Shiva Belssing-2, Opp. BMC Office, Bhavnagar</t>
  </si>
  <si>
    <t xml:space="preserve">Pro. D. G. Shiyal, 200, Vavadi, Plot Vistar, Milk Collection Center, At. Vavadi, Po. Fulsar, Ta. Talaja, Bhavnagar-364140 </t>
  </si>
  <si>
    <t>Pro. Bharatbhai B. Baraiya, At Village Rohisa, Ta. Mahuva, Dist. Bhavnagar - 364295</t>
  </si>
  <si>
    <t>Ground Floor, Shop No.2, House No.151, Near Chabutara, Dadva Road, Dhola, Ta.Umrala, Dist.Bhavnagar</t>
  </si>
  <si>
    <t>Vijaysinh B. Sarvaiya, At Pasvi, Ta. Talaja, Dist. Bhavnagar-364140</t>
  </si>
  <si>
    <t>53, Chandraprakash Residency, Sidasar Road, Leela Circle, Bhavnagar-364002</t>
  </si>
  <si>
    <t>2/A, New York Corner, Behind Kiran Motors, Opp. Rajpath Club, Bodakdev, Ahmedabad - 380054</t>
  </si>
  <si>
    <t>AT JALALPUR, TA. GADHADA, DIST. BOTAD - 364740</t>
  </si>
  <si>
    <t>Ghogha</t>
  </si>
  <si>
    <t xml:space="preserve">Shop No. 112, Sunrise Complex, Dawn Chowk, Bhavnagar </t>
  </si>
  <si>
    <t>RPC-2/Tender/Bhav/118</t>
  </si>
  <si>
    <t>Resurfacing and Routine Maintenance of Borala Approach Road (VR) Km.0/000 to 1/100 Ta.Mahuva, Dist.; Bhavnagar</t>
  </si>
  <si>
    <t>Improvement of Khadsaliya Morchand Padva Road (VR NP) (Khadsaliya Morchand Km.0/000 -3/800) Ta.Ghogha, Dist.; Bhavnagar</t>
  </si>
  <si>
    <t>Construction of Minor Bridge on Mahuva Mota Jadra Road (NP BT) Ta.Mahuva, Dist.; Bhavnagar</t>
  </si>
  <si>
    <t>RBD/TRF/e-file/16/2025/2848/Section D1</t>
  </si>
  <si>
    <t>Hareshbhai Punabhai Hadiya</t>
  </si>
  <si>
    <t>At. Kundaliyala, Tal. Rajula, Dist. Amreli</t>
  </si>
  <si>
    <t>Plot No. 233, Nu.N.Yo. No.3, Near Muni Nagar, Mahuva</t>
  </si>
  <si>
    <t>BHUPATBHAI B. BARAIYA</t>
  </si>
  <si>
    <t>314, Rise On Plaza, Sarthana Jakatnaka, Surat - 395006</t>
  </si>
  <si>
    <t xml:space="preserve"> VINODBHAI MEGHJIBHAI SOJITRA</t>
  </si>
  <si>
    <t>At Bhandariya, Ta. Palitana, Dist. Bhavnagar</t>
  </si>
  <si>
    <t>ALIGBHAI LAKHUBHAI BARAL</t>
  </si>
  <si>
    <t>Shop No. 5, First Floor, Nilkanth Arcade, Opp. Arjun Tokiz, Palitana Road, Gariyadhar- 364505</t>
  </si>
  <si>
    <t>UDAYBHAI RAMKUBHAI LUNSAR</t>
  </si>
  <si>
    <t>Opp. HP PUMP, Palitana Road, Gariyadhar</t>
  </si>
  <si>
    <t>At Lapaliya, Post- Nani Rajsthali, Tal. Palitana - 364270</t>
  </si>
  <si>
    <t>FDR</t>
  </si>
  <si>
    <t>BG</t>
  </si>
  <si>
    <t>01414GPGE2516701</t>
  </si>
  <si>
    <t>CANARA BANK</t>
  </si>
  <si>
    <t>01414GPGE2516702</t>
  </si>
  <si>
    <t>Punjab National Bank</t>
  </si>
  <si>
    <t>40500ILG002825</t>
  </si>
  <si>
    <t>Construction Cement Concrete Roads on Talgajarada to NH Road Km 0/0 to 2/100 Ta. Mahuva, Dist. Bhavnagar</t>
  </si>
  <si>
    <t>40500ILG002925</t>
  </si>
  <si>
    <t>40500ILG002725</t>
  </si>
  <si>
    <t>State Bank of India</t>
  </si>
  <si>
    <t>Resurfacing and Routine Maintenance of Biladi Nana Mota Pipalava Kankot Road (Pipalava to Kankot Section) (MDR) Km. 0/000 to 1/800 Ta.Mahuva, Dist.; Bhavnagar</t>
  </si>
  <si>
    <t>Widening &amp; Strengthening of Tagdi-Thordi-Rajpara- Badi Road Km. 0/000-11/550 (Sec-I Tagdi Thordi Road Km.0/000-4/000), (Sec.II Thordi Rajpara Road Km. 4/000-9/250) &amp; (Sec-III Rajpara Badi Road Km.9/250-11/550) (MDR) Ta.Bhavnagar &amp; Ghogha, Dist.; Bhavnagar</t>
  </si>
  <si>
    <t>R M Dasa Infrastructure Pvt. Ltd.</t>
  </si>
  <si>
    <t>Construction to Roads of Bhavnagar District Package No. RPC-2/BVN/MMGSY/Normal/2024-25/P.04 Taluka and Dist.; Bhavnagar</t>
  </si>
  <si>
    <t>Construction of Ishwariya to Sanosara Railway station Road (NP) Ch.0/000 to 1/650 Ta.Shihor , Dist.; Bhavnagar</t>
  </si>
  <si>
    <t>Construction of Panchtobra Gangajaliya to Malvali Road to Ratanvav Surnivas Road (NP) Km.0/000 to 2/200 Ta. Gariyadhar , Dist.; Bhavnagar</t>
  </si>
  <si>
    <t>Construction of Ratol To Chuna Road (Remaining Length) (NP) Km.0/000 to 1/400 Ta.Mahuva , Dist.; Bhavnagar</t>
  </si>
  <si>
    <t>Construction of Ratanvav To Paravadi Road (NP) Km.0/000 to 3/500 Ta.Gariyadhar , Dist.; Bhavnagar</t>
  </si>
  <si>
    <t>Construction of Panchvada to Meghvadar Road (NP) Ch. 0/000 to 3/750 Ta.Shihor, Dist.; Bhavnagar</t>
  </si>
  <si>
    <t>Construction of Bhankhal to Piparala Road (NP) Ch.0/000 to 1/850 Ta.Shihor, Dist.; Bhavnagar</t>
  </si>
  <si>
    <t>Suraj Corporation</t>
  </si>
  <si>
    <t>Construction of Slab Drain on Krushnapara Village Joining Highway Road At Ch.0/020 Ta.Shihor , Dist.; Bhavnagar</t>
  </si>
  <si>
    <t>MAHI INFRASTRUCTURE</t>
  </si>
  <si>
    <t>Construction of Ambla To Mahadevpara Road (NP) 0/00-3/200 Ta.Talaja Dist.; Bhavnagar.</t>
  </si>
  <si>
    <t>Shri Siddhi Vinayak Construction</t>
  </si>
  <si>
    <t>GOHIL NARENDRASINH P</t>
  </si>
  <si>
    <t>VANDEMATARAM CONSTRUCTION</t>
  </si>
  <si>
    <t>BALAJI CONSTRUCTION</t>
  </si>
  <si>
    <t>CUBE INFA PROJECTS</t>
  </si>
  <si>
    <t>S D KHUMAN</t>
  </si>
  <si>
    <t>HARBHOLE BUILDERS &amp;
CONSTRUCTION</t>
  </si>
  <si>
    <t>SURYADEEP SUPPLIERS</t>
  </si>
  <si>
    <t>PARTH K MEHTA</t>
  </si>
  <si>
    <t>RUDRA CONSTRUCTION</t>
  </si>
  <si>
    <t>JAY DANEV CONSTRUCTION</t>
  </si>
  <si>
    <t>JAY PUNJESHWAR CONSTRUCTION</t>
  </si>
  <si>
    <t>Jaysukhbhai Dhirubhai Sardhara</t>
  </si>
  <si>
    <t>GANESH BUILDERS</t>
  </si>
  <si>
    <t>KEVAL BUDHESHBHAI BHAYANI</t>
  </si>
  <si>
    <t>HEER CONSTRUCTION</t>
  </si>
  <si>
    <t>HRUTURAJSINH JESUBHA GOHIL</t>
  </si>
  <si>
    <t>MESHWA DEVELOPERS</t>
  </si>
  <si>
    <t>Parishram Construction</t>
  </si>
  <si>
    <t>EAGLE CONSTRUCTION</t>
  </si>
  <si>
    <t>kalubhai bholabhai ladumor</t>
  </si>
  <si>
    <t>R J BHAMMAR CONSTRUCTION</t>
  </si>
  <si>
    <t>GOPNATHJI CONSTRUCTIONS PRIVATE LIMITED</t>
  </si>
  <si>
    <t>TULSI CEMENT PRODUCTS</t>
  </si>
  <si>
    <t>KOTAR PRAFULKUMAR RAMESHBHAI</t>
  </si>
  <si>
    <t>Plot No. 15, Survey No. 166/1, GIDC, At. Timbi, Tal. Umrala, Dist. Bhavnagar- 364320</t>
  </si>
  <si>
    <t>185, Reliya Plot Vistar, Reliya, Tal. Talaja, Dist. Bhavnagar-364135</t>
  </si>
  <si>
    <t>Private Limited Company</t>
  </si>
  <si>
    <t>Agency Type</t>
  </si>
  <si>
    <t>At. Dihor, Tana Varal Road, Shak Market, Ta. Talaja, Dist. Bhavnagar-364150</t>
  </si>
  <si>
    <t>Fulwadi Faliya, Uchchhal-2, Tal. Uchchhal, Dist. Tapi- 394375</t>
  </si>
  <si>
    <t>Survey No. 374 P/A 2-16, Office No. 2, Left side of Entry Gate of Balkrushna Campus, Gir Gadhada Road, At. Una, Taluka Una, Dist. Gir Somnath - 362560</t>
  </si>
  <si>
    <t>KISHANKUMAR PATABHAI KALSARIYA</t>
  </si>
  <si>
    <t>Vivek Construction</t>
  </si>
  <si>
    <t>SHOP NO. 3, GROUND FLOOR, PARVADI GAM, GARIYADHAR SANOSARA ROAD, PARAVADI, TA. GARIYADHAR, DIST. BHAVNAGAR-364505</t>
  </si>
  <si>
    <t>RBD/TRF/e-file/16/2025/3843/Section D1</t>
  </si>
  <si>
    <t>HDFC Bank</t>
  </si>
  <si>
    <t>101GT02252020009</t>
  </si>
  <si>
    <t>A/8, AKSHARDEEP COMPLEX, OPP. DEEPAK MEMORIAL HALL, SANSKAR MANDAL, BHAVNAGAR-364002</t>
  </si>
  <si>
    <t>OFFICE NO.27, ASHTVINAYAK CITY MALL, WAGHAWADI ROAD, BHAVNAGAR-364001</t>
  </si>
  <si>
    <t>101, SHREEEJI ANAND CORNER, NEAR HDFC BANK, TOWER ROAD, PARA, Dist. BOTAD -364710</t>
  </si>
  <si>
    <t>C/732, Kesariya Hanuman Road, Kaliyabid, Bhavnagar-364001</t>
  </si>
  <si>
    <t>Office No.317, Third Floor, Imprerial Arc, Opp Shamaldas College, Waghawadi Road, Bhavnagar-364001</t>
  </si>
  <si>
    <t>SAI DARSHAN PARK, PLOT NO 15, SUBHASNAGAR, BHAVNAGAR-364001</t>
  </si>
  <si>
    <t>Flat No. FF/F3, Hatheshavar Apartment, Bha No Delo, Bhadeva Sheri, Pirchhalla, Bhavnagar-364001</t>
  </si>
  <si>
    <t xml:space="preserve">F-8, 1st Floor, Radhe City Center, Bapa Sitaram Chowk, Talaja, Dist. Bhavnagar
</t>
  </si>
  <si>
    <t>17, Lakhavad, Umrala, Bhavnagar-364230</t>
  </si>
  <si>
    <t>Flat no. 15/22/71, Vadhala Chowk, Near SBI, Kumbhar Sheri, Gadhada, Botad-364750</t>
  </si>
  <si>
    <t>Office No.701, Floor 7, Victoria Height, Iscon Megacity Road, Near Shell Petrol Pump, BHAVNAGAR-364002</t>
  </si>
  <si>
    <t>467, RAMAPIRDHAR, DIHOR, TALAJA, DIST.  BHAVNAGAR -364150</t>
  </si>
  <si>
    <t>487/244, Sagwadi Kaliyabid, Bhavnagar-364001</t>
  </si>
  <si>
    <t>101GT02252020007</t>
  </si>
  <si>
    <t>101GT02252020006</t>
  </si>
  <si>
    <t>101GT02252020011</t>
  </si>
  <si>
    <t>101GT02252020010</t>
  </si>
  <si>
    <t>101GT02252020003</t>
  </si>
  <si>
    <t>101GT02252020014</t>
  </si>
  <si>
    <t>235, Momai Krupa, Bhayani Sheri, Madhada, Ta. Shihor, Dist. Bhavnagar - 364240</t>
  </si>
  <si>
    <t>Siddharth Parbatbhai Bed</t>
  </si>
  <si>
    <t>At Hemal, Ta. Jafarabad, Dist. Amreli - 365545</t>
  </si>
  <si>
    <t>Mangukiya Vishal Gunvantbhai</t>
  </si>
  <si>
    <t>Pandya Dhairya Bhanushankar</t>
  </si>
  <si>
    <t>At Block No. 296, Street No. 11, Rayjinagar Society, Motibaug Road, Junagadh, Dist. Junagadh</t>
  </si>
  <si>
    <t>27, Ganesh Villa Bunglows, Rasian Nagar Society Same, Sidhdhapur Highway Road, Patan</t>
  </si>
  <si>
    <t>Modi Bhavik Nareshkumar</t>
  </si>
  <si>
    <t>Pratapbhai Lakhubhai Beparia</t>
  </si>
  <si>
    <t>At Lothpur, Ta. Jafarabad, Dist. Amreli - 365540</t>
  </si>
  <si>
    <t>Plot No. 1578/I, New Champa Tenament, Divadi Road, Rupani Circle, Bhavnagar - 364002</t>
  </si>
  <si>
    <t>PARTH Kiritkumar MEHTA</t>
  </si>
  <si>
    <t>Sanjaysinh Rajendrasinh Gohil</t>
  </si>
  <si>
    <t>184, Darbar Street, Wadi Area, Navagam (Nana) Ta. Ghogha. Dist. Bhavnagar</t>
  </si>
  <si>
    <t>At Po. Karmadiya, Via Thaliya, Ta. Mahuva, Dist. Bhavnagar - 364145</t>
  </si>
  <si>
    <t>Labhshankar ladhva</t>
  </si>
  <si>
    <t xml:space="preserve">(1) Batiya Vishalbhai Vinubhai
(2) Dhandhukiya Umeshbhai </t>
  </si>
  <si>
    <t>Majithiya Dhruvin Nareshbhai</t>
  </si>
  <si>
    <t>Shop No. 6, Nilkanth Shopping, Opp. S.T. Workshop, Gariyadhar, Dist. Bhavnagar - 364505</t>
  </si>
  <si>
    <t>Kanubhai Nagbhai Sandsur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</si>
  <si>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</si>
  <si>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Sanjaykumar Nandlal Raiyani</t>
  </si>
  <si>
    <t>Plot No. 37, Street No. 5, Gautameshvar Nagar-2, Chitra, Bhavnagar - 364001</t>
  </si>
  <si>
    <t>At Bordi, Post - Borda, Ta. Talaja, Dist. Bhavnagar - 364130</t>
  </si>
  <si>
    <t xml:space="preserve">At Village Chardika, Ta. Mahuva, Dist. Bhavnagar - </t>
  </si>
  <si>
    <t>At Tana, Tal. Shihor, Dist. Bhavnagar - 364260</t>
  </si>
  <si>
    <t>52, Lion Shopping Center, Near Kohinoor Hotel, Jafarabad Road, Rajula, Dist. Amreli - 365560</t>
  </si>
  <si>
    <t>Khuman Shivrajbhai Dilubhai</t>
  </si>
  <si>
    <t>At Village Rajapara (Thadach), Ta. Palitana, Dist. Bhavnagar - 364270</t>
  </si>
  <si>
    <t>Near Gayatri Temple, Veraval Road, Una, Dist. Gir Somnath - 362560</t>
  </si>
  <si>
    <t>101GT02252020013</t>
  </si>
  <si>
    <t>Construction of Pachhegam Approach Road Km 0/0 to 2/400, Ta. Gariyadhar, Dist. Bhavnagar</t>
  </si>
  <si>
    <t>Construction of Navaniya Kanthariya Road Km 0/0 to 4/500, Ta. Vallabhipur, Dist. Bhavnagar</t>
  </si>
  <si>
    <t>Construction of Pithalpur Gadhula Road Km 0/0 to 2/700, Ta. Talaja, Dist. Bhavnagar</t>
  </si>
  <si>
    <t>Construction of Padargadh Borada Road Km 0/0 to 2/750, Ta. Talaja, Dist. Bhavnagar</t>
  </si>
  <si>
    <t>Construction of Mota Charodiya Jagatpir Ashram Road Km 0/0 to 1/800, Ta. Gariyadhar, Dist. Bhavnagar</t>
  </si>
  <si>
    <t>Construction of Gopnath joining to Mastramdhara link Road Km 0/0 to 2/250, Ta. Talaja, Dist. Bhavnagar</t>
  </si>
  <si>
    <t>Resurfacing to Roads of Bhavnagar District Package no. RPC-2/BVN/MMGSY/Normal/2024-25/P.04 Ta. Shihor, Dist. Bhavnagar</t>
  </si>
  <si>
    <t>Resurfacing and Routine Maintenance to Roads of Bhavnagar District Package no. RPC-2/BVN/MMGSY/Normal/2024-25/P.02 Ta. Bhavnagar Ghogha, Dist. Bhavnagar</t>
  </si>
  <si>
    <t>Construction Cement Concrete Roads of Bhavnagar District Package No. RPC-2/BVN/Suvidhapath/2024-25/P.09, Ta. Vallabhipur, Dist. Bhavnagar</t>
  </si>
  <si>
    <t>Construction Cement Concrete Roads of Bhavnagar District Package No. RPC-2/BVN/Suvidhapath/2024-25/P.12, Ta. Palitana, Dist. Bhavnagar</t>
  </si>
  <si>
    <t>101GT02252020004</t>
  </si>
  <si>
    <t>101GT02252020008</t>
  </si>
  <si>
    <t>101GT02252020015</t>
  </si>
  <si>
    <t>AU SMALL FINANCE BANK LTD</t>
  </si>
  <si>
    <t>AOAIPBG251900001</t>
  </si>
  <si>
    <t>(1) Harshad Kalubhai Dungrani
(2) Lalita Harshad Dungrani</t>
  </si>
  <si>
    <t>MOGAL CONSTRUCTION, Gir Somnath</t>
  </si>
  <si>
    <t>Paresh Lakhabhai Jora</t>
  </si>
  <si>
    <t>At Umba, Taluka - Veraval, Dist. Gir Somnath - 362255</t>
  </si>
  <si>
    <t>RPC-2/Tender/Bhavbagar/210</t>
  </si>
  <si>
    <t>RPC-2/Tender/Bhavbagar/211</t>
  </si>
  <si>
    <t>RPC-2/Tender/Bhavbagar/212</t>
  </si>
  <si>
    <t>Bank of Baroda</t>
  </si>
  <si>
    <t>50301195323355</t>
  </si>
  <si>
    <t>50301193104650</t>
  </si>
  <si>
    <t>V M ENTERPRISE</t>
  </si>
  <si>
    <t>At Modhuka, Ta. Vinchhiya, Dist. Rajkot</t>
  </si>
  <si>
    <t>A-302 Shree Nand Elite, Nr.Ustav velly Flat, Nikol Gam Road, Ahemdabad                         Pin-382350</t>
  </si>
  <si>
    <t>SHREEJI STONE INDUSTRIES</t>
  </si>
  <si>
    <t>RUDRA CONSTRUCTION COMPANY</t>
  </si>
  <si>
    <t>Harekrishna Construction</t>
  </si>
  <si>
    <t>SHIVAM CONSTRUCTION</t>
  </si>
  <si>
    <t>Bhupatbhai B. Baraiya</t>
  </si>
  <si>
    <t xml:space="preserve">RAJABHAI NAGJIBHAI ZALA </t>
  </si>
  <si>
    <t>C.M.CONSTRUCTION</t>
  </si>
  <si>
    <t>SHIVGADH BUILDERS</t>
  </si>
  <si>
    <t>RAJ SECURITY SERVICES</t>
  </si>
  <si>
    <t>HARI OM CONSTRUCTION CO.</t>
  </si>
  <si>
    <t>JAYDEEP CONSTRUCTION CO</t>
  </si>
  <si>
    <t>RPC-2/Tender/Bhavbagar/213</t>
  </si>
  <si>
    <t>RBD/TRF/e-file/16/2025/4869/Section D1</t>
  </si>
  <si>
    <t>At Gadhula, Ta. Shihor, Dist. Bhavnagar - 364230</t>
  </si>
  <si>
    <t>Construction of Langala to Dedakadi Road Km 0/0 to 2/400, Ta. Vallabhipur, Dist. Bhavnagar</t>
  </si>
  <si>
    <t>Central Bank of India</t>
  </si>
  <si>
    <t>SARVAIYA RAJENDRASINH BAHADURSINH</t>
  </si>
  <si>
    <t>Pending WO</t>
  </si>
  <si>
    <t>RPC-2/Tender/Bhavbagar/236</t>
  </si>
  <si>
    <t>RBD/TRF/e-file/16/2025/4871/Section D1</t>
  </si>
  <si>
    <t>RBD/TRF/e-file/16/2025/4865/Section D1</t>
  </si>
  <si>
    <t>RBD/TRF/e-file/16/2025/4866/Section D1</t>
  </si>
  <si>
    <t>RBD/TRF/e-file/16/2025/5176/Section D1</t>
  </si>
  <si>
    <t>SH-404, Amazing Star, Opp. Vishvamitri Society, Varachha, Surat - 395006</t>
  </si>
  <si>
    <t>50301204707986</t>
  </si>
  <si>
    <t>50301204708710</t>
  </si>
  <si>
    <t>Union Bank of India</t>
  </si>
  <si>
    <t>Construction of CD Works on Thoradi villlage to High school Road (NP) Ta. Bhavnagar Dist. Bhavnagar</t>
  </si>
  <si>
    <t>Construction of C.C. Road Tirupati temple Road Joining to Ambla-Kumbhan Road Ta.:- Shihor, Dist.:- Bhavnagar</t>
  </si>
  <si>
    <t xml:space="preserve"> Construction of Vejodari to Mangela Road (NP) Ch.0/000 to 2/250 Ta.Talaja , Dist.; Bhavnagar. (Under MMGSY-Normal2024-25)</t>
  </si>
  <si>
    <t xml:space="preserve">Construction of Kerala to Mangela Road (NP) Ch.0/000 to 4/000 (Sec.0/000-3/200) Ta.Talaja , Dist.; Bhavnagar. (Under MMGSY-Normal-2024-25) </t>
  </si>
  <si>
    <t>Construction of CD Work on the Road from Vadal village in Palitana taluka to Kotiya village in Mahuva taluka Ta.:- Palitana, Dist.:- Bhavnagar</t>
  </si>
  <si>
    <t>Construction of CD Work on At Bagad River the Road from Ralgon village in Talaja taluka to Kotiya village in Mahuva taluka Road (NP) Ta.:- Talaja, Dist.:- Bhavnagar</t>
  </si>
  <si>
    <t>ANSH INFRASTRUCTURE</t>
  </si>
  <si>
    <t>Shri Harikrishna Construction</t>
  </si>
  <si>
    <t>SHRI SAINATH CONSTRUCTION
COMPANY</t>
  </si>
  <si>
    <t>Improvement of Devgana to Kharakadi Road (VRNP) Km.0/000-2/950 Ta.Shihor, Dist.; Bhavnagar</t>
  </si>
  <si>
    <t>Sureshbhai R Chavda</t>
  </si>
  <si>
    <t>SHREE GANGNATH
CONSTRUCTION</t>
  </si>
  <si>
    <t>RBD/TRF/e-file/16/2025/4868/Section D1</t>
  </si>
  <si>
    <t>RBD/TRF/e-file/16/2025/4870/Section D1</t>
  </si>
  <si>
    <t>F/107, Eva Surabhi Complex, Opp. Aksharvadi Temple, Waghavadi Road, Bhavnagar - 364001</t>
  </si>
  <si>
    <t>Amardipsinh M. Gohil</t>
  </si>
  <si>
    <t>11, Brahman Sheri, At. Jesar, Dist. Bhavnagar</t>
  </si>
  <si>
    <t>Plot No. 9, Gayatri Society, Ramabaug, Anantwadi, Bhavnagar - 364002</t>
  </si>
  <si>
    <t>33, Virbhadra Shopping Center, Nr. Nilambaug Circle, Bhavnagar - 364002</t>
  </si>
  <si>
    <t>Chhelana Vipul Hadabhai</t>
  </si>
  <si>
    <t>At Survey No. 4 P, Shiv Hotel, Rohisha Chowkadi, Mahuva, Dist. Bhavnagar</t>
  </si>
  <si>
    <t>C. K. Vaniya</t>
  </si>
  <si>
    <t>Dhuliya Pir Vali Sheri, At Sedarda, Ta. Mahuva, Dist. Bhavnagar - 364280</t>
  </si>
  <si>
    <t>G 402, Abhilasha Sky, Gopal Chowk, Nikol, Ahmedabad - 382350</t>
  </si>
  <si>
    <t xml:space="preserve">Plot No. 13/C, Sheri No. 9, Gurunagar, Behind Chitra Petrol, Bhavnagar 364003 </t>
  </si>
  <si>
    <t>Opp. Nagar Palika Shoping Center, Swami Vivekanand Park, Devli Road, Kodinar, Dist. Gir Somnath - 362720</t>
  </si>
  <si>
    <t xml:space="preserve">Construction of Minor Bridge on Tared to Belampar Road (ODR) At. Km.0/200 Ta.Mahuva , Dist.; Bhavnagar. (Under MMGSY-Normal-2025-26) </t>
  </si>
  <si>
    <t>Construction of Mota Khokhara to Bambhaniya Road (NP) Km.0/000 to 3/750 Ta.Ghogha, Dist.; Bhavnagar</t>
  </si>
  <si>
    <t>Construction of Bhankhal Road to Pithalpur Road (NP) Km.0/000 to 0/950 Ta.Ghogha , Dist.; Bhavnagar</t>
  </si>
  <si>
    <t>Resurfacing of Bila to Ugalvan Road (VR) Km.0/000 to 3/500 Ta.Jesar , Dist.; Bhavnagar</t>
  </si>
  <si>
    <t>Resurfacing of Jesar Depla Ranigam Road (MDR) Km.0/000 to 9/750 Ta.Jesar, Dist.; Bhavnagar.</t>
  </si>
  <si>
    <t>Improvement of Rupavati- Saringpur- Damrala- Paldi -Samdhiyala Road (MDR) Km.0/000-5/450 Ta.Gariyadhar, Dist.; Bhavnagar</t>
  </si>
  <si>
    <t xml:space="preserve">Improvement of Luvarvav to Bhundarakha Road (VR) Km.0/000-3/300 Ta.Palitana, Dist.; Bhavnagar. </t>
  </si>
  <si>
    <t>Construction of Box Culvert on Mahuva Katpar Bhavani Road (MR) Ta.Mahuva , Dist.; Bhavnagar.</t>
  </si>
  <si>
    <t>Improvement of Ambla to Piparala Road (NP) Km.0 /000-3/250 Ta.Shihor, Dist.; Bhavnagar.</t>
  </si>
  <si>
    <t>Ashapura Garden Restaurant, Near Garibsha pir, Rajkot Road, Sihor, Dist. Bhavnagar</t>
  </si>
  <si>
    <t>C-165, Pramukh Chhaya Raw House Society, Puma Simada Road, Puna Gam, Surat</t>
  </si>
  <si>
    <t>RPC-2/Tender/Bhavbagar/259</t>
  </si>
  <si>
    <t>L 15, AKSHARDEEP COMPLEX, SHASTRINAGAR, BHAVNAGAR-364001</t>
  </si>
  <si>
    <t>Bank of India</t>
  </si>
  <si>
    <t>Gujarat Gramin Bank</t>
  </si>
  <si>
    <t>22670300000001</t>
  </si>
  <si>
    <t>22670300000002</t>
  </si>
  <si>
    <t>C 1014, Opp. SBI Bank, Kaliyabid, Bhavnagar</t>
  </si>
  <si>
    <t>101GT02252630005</t>
  </si>
  <si>
    <t>32423030002307</t>
  </si>
  <si>
    <t>32423030002308</t>
  </si>
  <si>
    <t>309, 3rd Floor, Asopalav Triangle, 40-50 Feet Road Corner, (Punitnagar) Near Khodal Chok, Opp. Satyam Hills, Mavdi- Rajkot - 364004</t>
  </si>
  <si>
    <t>RPC-2/Tender/Bhavbagar/311</t>
  </si>
  <si>
    <t>RBD/TRF/e-file/16/2025/6191/Section D1</t>
  </si>
  <si>
    <t>RBD/TRF/e-file/16/2025/6189/Section D1</t>
  </si>
  <si>
    <t>RBD/TRF/e-file/16/2025/6190/Section D1</t>
  </si>
  <si>
    <t>RBD/TRF/e-file/16/2025/6197/Section D1</t>
  </si>
  <si>
    <t>Shop No. 40/41, Madhav Complex, Shastrinagar, Bhavnagar</t>
  </si>
  <si>
    <t>RBD/TRF/e-file/16/2025/6193/Section D1</t>
  </si>
  <si>
    <t>RPC-2/Tender/Bhavbagar/312</t>
  </si>
  <si>
    <t>Pending LoA</t>
  </si>
  <si>
    <t>Pending Approval</t>
  </si>
  <si>
    <t>50301241287737</t>
  </si>
  <si>
    <t>50301241288868</t>
  </si>
  <si>
    <t>RBD/TRF/e-file/16/2025/5428/Section D1</t>
  </si>
  <si>
    <t>5030044769452</t>
  </si>
  <si>
    <t>5030044769453</t>
  </si>
  <si>
    <t>5030044769454</t>
  </si>
  <si>
    <t>5030044769455</t>
  </si>
  <si>
    <t>PLOT NO. 1 A-16, Shere Panjab Pachhal, Santkrupa valo khancho, chitra GIDC, BHAVNAGAR-364004</t>
  </si>
  <si>
    <t>J.K.Construction</t>
  </si>
  <si>
    <t>At Po. Lilivav, Ta. Talaja, Dist. Bhavnagar</t>
  </si>
  <si>
    <t>Upendrakumar J. Joshi</t>
  </si>
  <si>
    <t>MATI CONSTRUCTION AND
ENGINEERING</t>
  </si>
  <si>
    <t>Shree Khodiyar Construction</t>
  </si>
  <si>
    <t>Pramukh Services</t>
  </si>
  <si>
    <t>JAYDIPBHAI J MAKWANA</t>
  </si>
  <si>
    <t>RUTURAJSINH ARJUNSINH SARVAIYA</t>
  </si>
  <si>
    <t xml:space="preserve">Construction of various Major Bridge under MMGSY Yojana (Normal) Year 2025-26, Package No. RPC-2/BVN/Structure/2025-26/P.03, Ta. Bhavnagar </t>
  </si>
  <si>
    <t>6376225BG0Y00072</t>
  </si>
  <si>
    <t>6376225BG0Y00073</t>
  </si>
  <si>
    <t>6376225BG0Y00071</t>
  </si>
  <si>
    <t>Construction of Major Bridge on Beda Virpur Road Ta. Jesar., Dist.; Bhavnagar. (Under MMGSY-Normal-2024-25)</t>
  </si>
  <si>
    <t>Construction of Box Culvert on the way to Dalit Crematorium at Ranghola Village of Umrala (Km.0/150) Ta.Umrala, Dist.; Bhavnagar. (Under Finance Commission)</t>
  </si>
  <si>
    <t>Hamirbhai Govindbhai Chavda</t>
  </si>
  <si>
    <t>At. Lakhavad, Tal. Umrala, Dist. Bhavnagar</t>
  </si>
  <si>
    <t>At. Shelavadar, Tal. Talaja, Dist. Bhavnagar - 364140</t>
  </si>
  <si>
    <t>Alpeshkumar Ranabhai Kalotara</t>
  </si>
  <si>
    <t>At. Chhapariyali, Bagdana Road, Tal. Jesar, Dist. Bhavnagar - 364510</t>
  </si>
  <si>
    <t>Plot No. 39/B, Jawahar Colony, Bordigate, Bhavnagar - 364005</t>
  </si>
  <si>
    <t>B-4852, Punam Pooja Society, Kaliyabid, Bhavnagar - 364002</t>
  </si>
  <si>
    <t>Rupavati Road, Gariyadhar, Dist. Bhavnagar - 364505</t>
  </si>
  <si>
    <t>#N/A</t>
  </si>
  <si>
    <t>0348IGP003446925</t>
  </si>
  <si>
    <t>0348IGP003461325</t>
  </si>
  <si>
    <t>0348IGP003461925</t>
  </si>
  <si>
    <t>Kalapi Enterprise</t>
  </si>
  <si>
    <t>320, Sky Zone near Shyamdham Temple, Varachha Road, Surat - 395006</t>
  </si>
  <si>
    <t>214, Hill Town Square, Near Ganesh Opera, Nikol, Ahmedabad - 382350</t>
  </si>
  <si>
    <t>0348IGP004517425</t>
  </si>
  <si>
    <t>SADVICHAR INFRA PROJECTS LLP</t>
  </si>
  <si>
    <t>DEVKI CONSTRUCTION</t>
  </si>
  <si>
    <t>JAY ENTERPRISE</t>
  </si>
  <si>
    <t>parishramconstruction</t>
  </si>
  <si>
    <t>SARVAIYA BROTHERS CONSTRUCTION
COMPANY</t>
  </si>
  <si>
    <t>MUKHI CONSTRUCTION</t>
  </si>
  <si>
    <t>Siddhi Vinayak Construction</t>
  </si>
  <si>
    <t>A V CONSTRUCTION</t>
  </si>
  <si>
    <t>MILAN INFRA PROJECT</t>
  </si>
  <si>
    <t>Bambhaniya V L</t>
  </si>
  <si>
    <t>DHRUVITKUMAR R KAKADIYA</t>
  </si>
  <si>
    <t>CHIRAG HIMMATBHAI ITALIYA</t>
  </si>
  <si>
    <t xml:space="preserve"> Shop No. 101, Chitrakut Complex, Near Gayatridham Society, Jamnagar Road, Rajkot</t>
  </si>
  <si>
    <t>Shop No. 04, Madhuvan Complex, Gopnath Road, Talaja, Dist. Bhavnagar</t>
  </si>
  <si>
    <t>At. Mitiyala, Main Road, Near Bus Station, Tal. Jafrabad, Dist. Amreli - 365540</t>
  </si>
  <si>
    <t>FF-14-B, Pramukh Darshan Complex, Hadanagar Na Nake, Bhavnagar</t>
  </si>
  <si>
    <t>At Mitiyala, Tal. Jafrabad, Dist. Amreli - 365540</t>
  </si>
  <si>
    <t>Shop No. 44, Madhav Complex, Shastrinagar, Bhavnagar</t>
  </si>
  <si>
    <t>At. Nana Rajkot, Tal. Lathi, Dist. Amreli</t>
  </si>
  <si>
    <t>At Maidhar, Tal. Palitana, Dist. Bhavnagar - 364260</t>
  </si>
  <si>
    <t>Shop No. 4, Utsav Flat, Near Jewels Circle, Bhavnagar</t>
  </si>
  <si>
    <t>Ramnagar, Budhel, Dist. Bhavnagar</t>
  </si>
  <si>
    <t>Swaminarayan Temple, Ward No. 1, 658/1, Bherai Road, Rajula, Distt. Amreli - 365560</t>
  </si>
  <si>
    <t>Construction of Roads of Bhavnagar District Package No.RPC-2/BVN/Normal/2024-25/P.01 Ta. Shihor , Dist.; Bhavnagar</t>
  </si>
  <si>
    <t>101GT02253220002</t>
  </si>
  <si>
    <t>101GT02260080002</t>
  </si>
  <si>
    <t>Cancelled</t>
  </si>
  <si>
    <t xml:space="preserve">201/02, Leela Beside Iscon Mega City, Jewels Road, Opp. Victoria Park, Bhavnagar- 364001                           </t>
  </si>
  <si>
    <t>RBD/TRF/e-file/16/2025/6195/Section D1</t>
  </si>
  <si>
    <t>SHREEJI DEVCON (INDIA) PVT. LTD.</t>
  </si>
  <si>
    <t xml:space="preserve">F-22, Neptune Tower, Opp.                                                        Jalaram Petrol Pump, Kalawad                                  Road, Rajkot - 360005
</t>
  </si>
  <si>
    <t>RBD/TRF/e-file/16/2025/6875/Section D1</t>
  </si>
  <si>
    <t>29/11/225</t>
  </si>
  <si>
    <t>Widening &amp; Strengthening of Sathara to Unchakotda Road (MDR) Km.0/00-17/900 Ta. Mahuva Dist. Bhavnagar (Under MMGSY Yojna (Normal) Year 2024-25)</t>
  </si>
  <si>
    <t>HDFC BANK</t>
  </si>
  <si>
    <t>0348IGP004695225</t>
  </si>
  <si>
    <t>0348IGP004693025</t>
  </si>
  <si>
    <t>Everest Buildcare Private Limited</t>
  </si>
  <si>
    <t>404, Amazing Star, Opp. Vishvamitri Society, Mahavir Chowk, Chikuwadi, Varachha Road, Surat-395006</t>
  </si>
  <si>
    <t>067GT02253500009</t>
  </si>
  <si>
    <t>067GT02253500010</t>
  </si>
  <si>
    <t>AMAR CONSTRUCTION CO.</t>
  </si>
  <si>
    <t>GRVISH INFRASTRUCTURE</t>
  </si>
  <si>
    <t>SQUARE CONSTRUCTION</t>
  </si>
  <si>
    <t>BHAVIK CONSTRUCTION AND MATERIALS SUPPLIER</t>
  </si>
  <si>
    <t>RAMESH BHIMABHAI SURANI</t>
  </si>
  <si>
    <t>KRUSHNADEVSINH S SARVAIYA</t>
  </si>
  <si>
    <t>411, Silver Stone Arcade, Near Kanthariya Hanuman Temple, Singanpor Causeway Road, Katargam, Surat - 395004</t>
  </si>
  <si>
    <t>33/A, First Floor, Nutan Shopping Center, Jilla Panchayat Road, Amreli - 365601</t>
  </si>
  <si>
    <t>SR to Jaspara Khadarpar Paniyali Road (ODR) (Sec. I Km. 1/500-4/240) Km. 0/000-4/240 Ta. Talaja, Dist. Bhavnagar</t>
  </si>
  <si>
    <t>KCC SOSIYA PRIVATE LIMITED</t>
  </si>
  <si>
    <t>RPC-2/Tender/Bhavnagar/427</t>
  </si>
  <si>
    <t>Construction of Virpur Shevadivadar Road (NP) Km. 0/000 to 2/500, Ta. Mahuva Dist. Bhavnagar</t>
  </si>
  <si>
    <t>SHIVAM BUILDERS</t>
  </si>
  <si>
    <t>Vaniya Sheri, At. Village Trapaj, Ta. Talaja, Dist. Bhavnagar</t>
  </si>
  <si>
    <t>RPC-2/Tender/Bhavnagar/426</t>
  </si>
  <si>
    <t>305/306, Madhvav Hill, Vaghavadi Road, Bhavnagar</t>
  </si>
  <si>
    <t>MARUTI CONSTRUCTION</t>
  </si>
  <si>
    <t>Construction of Bhatikada to Kadi Vistaar Road (VR NP) Km.0/000 to 3/500 Ta. Mahuva, Dist. Bhavnagar</t>
  </si>
  <si>
    <t>50301302023764</t>
  </si>
  <si>
    <t>50301302025184</t>
  </si>
  <si>
    <t>ALLENTY ENGINEERING AND SERVICES PRIVATE LIMITED</t>
  </si>
  <si>
    <t>Plot No. 1/2-A/2, Shivsagar Society, Opposite Shivdhara Farm, Tarsamiya Road, Bhavnagar- 364002</t>
  </si>
  <si>
    <t>ICICI Bank Limited</t>
  </si>
  <si>
    <t>242213004992</t>
  </si>
  <si>
    <t>242213004991</t>
  </si>
  <si>
    <t>RPC-2/Tender/Bhavnagar/473</t>
  </si>
  <si>
    <t>0272NDLG00014026</t>
  </si>
  <si>
    <t>0272NDLG00014226</t>
  </si>
  <si>
    <t>22670300000273</t>
  </si>
  <si>
    <t>22670300000275</t>
  </si>
  <si>
    <t>22670300000272</t>
  </si>
  <si>
    <t>22670300000271</t>
  </si>
  <si>
    <t>KRUSHNAM ENTERPRISE</t>
  </si>
  <si>
    <t>DISHA TRADING AND CO</t>
  </si>
  <si>
    <t xml:space="preserve">UGAM CONSTRUCTION CO. </t>
  </si>
  <si>
    <t>SHASHVAT INFRASTRUCTURE</t>
  </si>
  <si>
    <t>JIYA ENTERPRISE</t>
  </si>
  <si>
    <t>TUSHAR MAHESHBHAI RATHOD</t>
  </si>
  <si>
    <t xml:space="preserve">Gondra Vistar, At- Mannar, Ta. Talaja, Dist. Bhavnagar </t>
  </si>
  <si>
    <t>Plot No. 13/1, Parmeshwar Park, Near Top 3 Circle, Bhavnagar</t>
  </si>
  <si>
    <t>At Village Dedarada, Ta. Palitana, Dist. Bhavnagar</t>
  </si>
  <si>
    <t>1st Floor, Dharmshala Shop, Valam Chowk, Gariyadhar, Dist. Bhavnagar</t>
  </si>
  <si>
    <t>RBD/TRF/e-file/16/2025/7186/Section D1</t>
  </si>
  <si>
    <t>various</t>
  </si>
  <si>
    <t>At Lathi, Dist. Amreli - 365430</t>
  </si>
  <si>
    <t xml:space="preserve">Shop No. 2/3, Plot No. 76, Revenue Sr No. 247, Nr. Ashok Bavadiya Sir, Vishwas Nagar, V.T. Nagar Road, Mahuva, Dist. Bhavnagar </t>
  </si>
  <si>
    <t>At Borala, Post- Bela, Ta. Talaja, Dist. Bhavnagar</t>
  </si>
  <si>
    <t>68, Ambika Nagar Society-1, B/H. Bala Ashram Road, Katargam Road, Surat - 365004</t>
  </si>
  <si>
    <t>Plot No. 45, Nareshwar Society, 90-91, Chitra, Bhavnagar</t>
  </si>
  <si>
    <t>Main Road, Vishwakarma Nivas, Opp. Vadilal Ice Cream, At- Dhola (Jn), Ta- Umrala, Dist. Bhavnagar</t>
  </si>
  <si>
    <t>RBD/TRF/e-file/16/2026/1303/Section D1</t>
  </si>
  <si>
    <t>5-A, Mahalaxmi Complex, Opp. Sulekhan School, Radhanpur Road, Mehsana - 384002</t>
  </si>
  <si>
    <t>PUSHPRAJ CONSTRACTION &amp; SUPPLIERS</t>
  </si>
  <si>
    <t>House No. 1397-1, Abdasa, Mothala, Kachchh - 370650</t>
  </si>
  <si>
    <t>3204IPEBG260014</t>
  </si>
  <si>
    <t>22670300000306</t>
  </si>
  <si>
    <t>22670300000307</t>
  </si>
  <si>
    <t>taluka</t>
  </si>
  <si>
    <t>packageName</t>
  </si>
  <si>
    <t>tenderId</t>
  </si>
  <si>
    <t>tenderNoticeYear</t>
  </si>
  <si>
    <t>noticeNo</t>
  </si>
  <si>
    <t>srNo</t>
  </si>
  <si>
    <t>tenderCreationDate</t>
  </si>
  <si>
    <t>lastDateOfSubmission</t>
  </si>
  <si>
    <t>tenderOpeningDate</t>
  </si>
  <si>
    <t>contractorName</t>
  </si>
  <si>
    <t>contractPrice</t>
  </si>
  <si>
    <t>aboveBelowPercentage</t>
  </si>
  <si>
    <t>proposalDate</t>
  </si>
  <si>
    <t>tenderApprovalOffice</t>
  </si>
  <si>
    <t>tenderApprovalNo</t>
  </si>
  <si>
    <t>tenderApprovalDate</t>
  </si>
  <si>
    <t>acceptanceLetterWorksheetNo</t>
  </si>
  <si>
    <t>acceptanceLetterDate</t>
  </si>
  <si>
    <t>agreementYear</t>
  </si>
  <si>
    <t>agreementNo</t>
  </si>
  <si>
    <t>agreementDate</t>
  </si>
  <si>
    <t>securityDepositType</t>
  </si>
  <si>
    <t>securityDepositBankName</t>
  </si>
  <si>
    <t>securityDepositNumber</t>
  </si>
  <si>
    <t>securityDepositAmount</t>
  </si>
  <si>
    <t>securityDepositDate</t>
  </si>
  <si>
    <t>additionalSecurityDepositType</t>
  </si>
  <si>
    <t>additionalSecurityDepositBankName</t>
  </si>
  <si>
    <t>additionalSecurityDepositNumber</t>
  </si>
  <si>
    <t>additionalSecurityDepositAmount</t>
  </si>
  <si>
    <t>additionalSecurityDepositDate</t>
  </si>
  <si>
    <t>workOrderWorksheetNo</t>
  </si>
  <si>
    <t>workOrderDate</t>
  </si>
  <si>
    <t>workDurationMonths</t>
  </si>
  <si>
    <t>estimatedAmount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</si>
</sst>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dd\/mm\/yyyy"/>
    <numFmt numFmtId="165" formatCode="[$-14009]dd/mm/yyyy;@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center" vertical="top" wrapText="1"/>
    </xf>
    <xf numFmtId="0" fontId="1" fillId="0" borderId="1" xfId="0" applyFont="1" applyBorder="1" applyAlignment="1">
      <alignment horizontal="left" vertical="top" wrapText="1"/>
    </xf>
    <xf numFmtId="4" fontId="1" fillId="0" borderId="1" xfId="0" applyNumberFormat="1" applyFont="1" applyBorder="1" applyAlignment="1">
      <alignment horizontal="right" vertical="top" wrapText="1"/>
    </xf>
    <xf numFmtId="2" fontId="1" fillId="0" borderId="1" xfId="0" applyNumberFormat="1" applyFont="1" applyBorder="1" applyAlignment="1">
      <alignment horizontal="center" vertical="top" wrapText="1"/>
    </xf>
    <xf numFmtId="3" fontId="1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right" vertical="top" wrapText="1"/>
    </xf>
    <xf numFmtId="14" fontId="1" fillId="0" borderId="1" xfId="0" applyNumberFormat="1" applyFont="1" applyBorder="1" applyAlignment="1">
      <alignment horizontal="center" vertical="top" wrapText="1"/>
    </xf>
    <xf numFmtId="1" fontId="1" fillId="0" borderId="1" xfId="0" applyNumberFormat="1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/>
    </xf>
    <xf numFmtId="165" fontId="1" fillId="0" borderId="1" xfId="0" applyNumberFormat="1" applyFont="1" applyBorder="1" applyAlignment="1">
      <alignment horizontal="center" vertical="top" wrapText="1"/>
    </xf>
    <xf numFmtId="14" fontId="1" fillId="0" borderId="1" xfId="0" applyNumberFormat="1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/>
    <xf numFmtId="0" fontId="4" fillId="0" borderId="1" xfId="0" pivotButton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1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49" fontId="1" fillId="0" borderId="1" xfId="0" applyNumberFormat="1" applyFont="1" applyBorder="1" applyAlignment="1">
      <alignment horizontal="right" vertical="top" wrapText="1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4" fontId="0" fillId="0" borderId="0" xfId="0" applyNumberFormat="1"/>
    <xf numFmtId="14" fontId="0" fillId="0" borderId="1" xfId="0" applyNumberFormat="1" applyBorder="1" applyAlignment="1">
      <alignment vertical="top"/>
    </xf>
  </cellXfs>
  <cellStyles count="1">
    <cellStyle name="Normal" xfId="0" builtinId="0"/>
  </cellStyles>
  <dxfs count="28">
    <dxf>
      <numFmt numFmtId="4" formatCode="#,##0.00"/>
    </dxf>
    <dxf>
      <numFmt numFmtId="4" formatCode="#,##0.00"/>
    </dxf>
    <dxf>
      <numFmt numFmtId="4" formatCode="#,##0.00"/>
    </dxf>
    <dxf>
      <font>
        <sz val="12"/>
      </font>
    </dxf>
    <dxf>
      <font>
        <sz val="12"/>
      </font>
    </dxf>
    <dxf>
      <font>
        <sz val="12"/>
      </font>
    </dxf>
    <dxf>
      <alignment wrapText="1"/>
    </dxf>
    <dxf>
      <alignment wrapText="1"/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SITARAM" refreshedDate="45972.785703703703" createdVersion="8" refreshedVersion="8" minRefreshableVersion="3" recordCount="393" xr:uid="{30CA66B7-2A5B-4673-BCB2-1C20B6E7C44F}">
  <cacheSource type="worksheet">
    <worksheetSource ref="A1:AI544" sheet="Tender"/>
  </cacheSource>
  <cacheFields count="64">
    <cacheField name="Sr. No." numFmtId="0">
      <sharedItems containsString="0" containsBlank="1" containsNumber="1" containsInteger="1" minValue="1" maxValue="392"/>
    </cacheField>
    <cacheField name="Job No. Year" numFmtId="0">
      <sharedItems containsBlank="1"/>
    </cacheField>
    <cacheField name="Tender Notice Year" numFmtId="0">
      <sharedItems containsBlank="1"/>
    </cacheField>
    <cacheField name="Tender Notice No." numFmtId="0">
      <sharedItems containsString="0" containsBlank="1" containsNumber="1" containsInteger="1" minValue="1" maxValue="17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m/>
      </sharedItems>
    </cacheField>
    <cacheField name="Tender Notice Sub No." numFmtId="0">
      <sharedItems containsString="0" containsBlank="1" containsNumber="1" containsInteger="1" minValue="1" maxValue="141"/>
    </cacheField>
    <cacheField name="Name of Work" numFmtId="0">
      <sharedItems containsBlank="1"/>
    </cacheField>
    <cacheField name="Name of Roads" numFmtId="0">
      <sharedItems containsBlank="1" longText="1"/>
    </cacheField>
    <cacheField name="Taluka" numFmtId="0">
      <sharedItems containsBlank="1"/>
    </cacheField>
    <cacheField name="Sub Division" numFmtId="0">
      <sharedItems containsBlank="1"/>
    </cacheField>
    <cacheField name="Type" numFmtId="0">
      <sharedItems containsBlank="1"/>
    </cacheField>
    <cacheField name="Category of Work" numFmtId="0">
      <sharedItems containsBlank="1"/>
    </cacheField>
    <cacheField name="Tender ID" numFmtId="0">
      <sharedItems containsString="0" containsBlank="1" containsNumber="1" containsInteger="1" minValue="171465" maxValue="221660"/>
    </cacheField>
    <cacheField name="Trial No." numFmtId="0">
      <sharedItems containsString="0" containsBlank="1" containsNumber="1" containsInteger="1" minValue="1" maxValue="11"/>
    </cacheField>
    <cacheField name="Tender Creation Date Date" numFmtId="164">
      <sharedItems containsNonDate="0" containsDate="1" containsString="0" containsBlank="1" minDate="2025-04-03T00:00:00" maxDate="2025-09-04T00:00:00"/>
    </cacheField>
    <cacheField name="Last Date of Submission" numFmtId="164">
      <sharedItems containsNonDate="0" containsDate="1" containsString="0" containsBlank="1" minDate="2025-04-15T00:00:00" maxDate="2025-09-16T00:00:00"/>
    </cacheField>
    <cacheField name="Tender Opening Date" numFmtId="164">
      <sharedItems containsNonDate="0" containsDate="1" containsString="0" containsBlank="1" minDate="2025-04-16T00:00:00" maxDate="2025-09-17T00:00:00"/>
    </cacheField>
    <cacheField name="Tender Validity Period" numFmtId="0">
      <sharedItems containsNonDate="0" containsDate="1" containsString="0" containsBlank="1" minDate="1900-04-29T00:00:00" maxDate="2026-01-14T00:00:00"/>
    </cacheField>
    <cacheField name="Estimated Amount" numFmtId="4">
      <sharedItems containsString="0" containsBlank="1" containsNumber="1" minValue="202031.85" maxValue="419152057.25"/>
    </cacheField>
    <cacheField name="Re-Invite?" numFmtId="0">
      <sharedItems containsBlank="1"/>
    </cacheField>
    <cacheField name="Contract Price" numFmtId="4">
      <sharedItems containsString="0" containsBlank="1" containsNumber="1" minValue="183101.47" maxValue="334063461.57999998"/>
    </cacheField>
    <cacheField name="Above/ Below (%)" numFmtId="0">
      <sharedItems containsString="0" containsBlank="1" containsNumber="1" minValue="-33" maxValue="87.4"/>
    </cacheField>
    <cacheField name="Above/ Below (in word)" numFmtId="0">
      <sharedItems containsBlank="1"/>
    </cacheField>
    <cacheField name="Contract Price in words" numFmtId="0">
      <sharedItems containsBlank="1"/>
    </cacheField>
    <cacheField name="Tender Level" numFmtId="0">
      <sharedItems containsBlank="1"/>
    </cacheField>
    <cacheField name="Maintenance Amount" numFmtId="0">
      <sharedItems containsString="0" containsBlank="1" containsNumber="1" minValue="468077.87" maxValue="1224193.3999999999"/>
    </cacheField>
    <cacheField name="Total (A+B)" numFmtId="0">
      <sharedItems containsString="0" containsBlank="1" containsNumber="1" minValue="0" maxValue="334063461.57999998"/>
    </cacheField>
    <cacheField name="Contract Awarded to" numFmtId="0">
      <sharedItems containsBlank="1"/>
    </cacheField>
    <cacheField name="_x000a_Name of Proprietor" numFmtId="0">
      <sharedItems containsBlank="1" containsMixedTypes="1" containsNumber="1" containsInteger="1" minValue="0" maxValue="0"/>
    </cacheField>
    <cacheField name="Contractor Address" numFmtId="0">
      <sharedItems containsBlank="1" containsMixedTypes="1" containsNumber="1" containsInteger="1" minValue="0" maxValue="0"/>
    </cacheField>
    <cacheField name="Mobile No." numFmtId="0">
      <sharedItems containsBlank="1" containsMixedTypes="1" containsNumber="1" containsInteger="1" minValue="0" maxValue="9998577523"/>
    </cacheField>
    <cacheField name="Proposal Date" numFmtId="0">
      <sharedItems containsNonDate="0" containsDate="1" containsString="0" containsBlank="1" minDate="2025-04-30T00:00:00" maxDate="2025-09-25T00:00:00"/>
    </cacheField>
    <cacheField name="Name of Scheme" numFmtId="0">
      <sharedItems containsBlank="1"/>
    </cacheField>
    <cacheField name="Tender Approval Office" numFmtId="0">
      <sharedItems containsBlank="1"/>
    </cacheField>
    <cacheField name="Tender Approval No." numFmtId="0">
      <sharedItems containsBlank="1"/>
    </cacheField>
    <cacheField name="Tender Approval Date" numFmtId="0">
      <sharedItems containsDate="1" containsBlank="1" containsMixedTypes="1" minDate="2025-05-14T00:00:00" maxDate="2025-10-15T00:00:00"/>
    </cacheField>
    <cacheField name="Duration of Work (in Months)" numFmtId="0">
      <sharedItems containsString="0" containsBlank="1" containsNumber="1" containsInteger="1" minValue="1" maxValue="12"/>
    </cacheField>
    <cacheField name="Required Security Deposit Amount (5% of Contract Price )" numFmtId="0">
      <sharedItems containsString="0" containsBlank="1" containsNumber="1" containsInteger="1" minValue="0" maxValue="16704000"/>
    </cacheField>
    <cacheField name="Date upto which Security Security Deposit Required" numFmtId="0">
      <sharedItems containsNonDate="0" containsDate="1" containsString="0" containsBlank="1" minDate="1901-03-25T00:00:00" maxDate="2030-01-10T00:00:00"/>
    </cacheField>
    <cacheField name="Required Stamp Duty (4.90% of Security Deposit) " numFmtId="0">
      <sharedItems containsString="0" containsBlank="1" containsNumber="1" containsInteger="1" minValue="0" maxValue="818500"/>
    </cacheField>
    <cacheField name="Required Additional Performance Security Deposit Amount" numFmtId="0">
      <sharedItems containsString="0" containsBlank="1" containsNumber="1" containsInteger="1" minValue="0" maxValue="1340000"/>
    </cacheField>
    <cacheField name="Date upto which Additional Performance Security Deposit Required" numFmtId="0">
      <sharedItems containsNonDate="0" containsDate="1" containsString="0" containsBlank="1" minDate="1900-02-03T00:00:00" maxDate="2026-12-02T00:00:00"/>
    </cacheField>
    <cacheField name="Defect Liability Period (Date)" numFmtId="0">
      <sharedItems containsNonDate="0" containsDate="1" containsString="0" containsBlank="1" minDate="1901-01-24T00:00:00" maxDate="2029-11-11T00:00:00"/>
    </cacheField>
    <cacheField name="Tender Acceptance Letter Worksheet No." numFmtId="0">
      <sharedItems containsString="0" containsBlank="1" containsNumber="1" containsInteger="1" minValue="370" maxValue="1521"/>
    </cacheField>
    <cacheField name="Tender Acceptance Letter Date" numFmtId="0">
      <sharedItems containsNonDate="0" containsDate="1" containsString="0" containsBlank="1" minDate="2025-05-20T00:00:00" maxDate="2025-11-12T00:00:00"/>
    </cacheField>
    <cacheField name="Agreement Year" numFmtId="0">
      <sharedItems containsBlank="1"/>
    </cacheField>
    <cacheField name="Agreement No." numFmtId="0">
      <sharedItems containsString="0" containsBlank="1" containsNumber="1" containsInteger="1" minValue="45" maxValue="202"/>
    </cacheField>
    <cacheField name="Agreement Date" numFmtId="0">
      <sharedItems containsNonDate="0" containsDate="1" containsString="0" containsBlank="1" minDate="2025-07-14T00:00:00" maxDate="2025-11-11T00:00:00"/>
    </cacheField>
    <cacheField name="Security Deposit Type (BG/ FDR)" numFmtId="0">
      <sharedItems containsBlank="1"/>
    </cacheField>
    <cacheField name="Bank Name of Security Deposit BG/ FDR)" numFmtId="0">
      <sharedItems containsBlank="1"/>
    </cacheField>
    <cacheField name="Security Deposit BG/ FDR Number " numFmtId="0">
      <sharedItems containsBlank="1" containsMixedTypes="1" containsNumber="1" containsInteger="1" minValue="5856182489" maxValue="771613001573"/>
    </cacheField>
    <cacheField name="Security Deposit BG/ FDR Amount" numFmtId="0">
      <sharedItems containsString="0" containsBlank="1" containsNumber="1" containsInteger="1" minValue="24000" maxValue="1943000"/>
    </cacheField>
    <cacheField name="Security Deposit BG/ FDR Date" numFmtId="0">
      <sharedItems containsNonDate="0" containsDate="1" containsString="0" containsBlank="1" minDate="2025-06-16T00:00:00" maxDate="2025-10-30T00:00:00"/>
    </cacheField>
    <cacheField name="Additional Performance Security Deposit BG/ FDR Type" numFmtId="0">
      <sharedItems containsBlank="1"/>
    </cacheField>
    <cacheField name="Bank Name of Additional Performance Security Deposit" numFmtId="0">
      <sharedItems containsBlank="1"/>
    </cacheField>
    <cacheField name="Additional Performance Security BG/FDR No." numFmtId="0">
      <sharedItems containsBlank="1" containsMixedTypes="1" containsNumber="1" containsInteger="1" minValue="8115723852" maxValue="78049184811"/>
    </cacheField>
    <cacheField name="Additional Performance Security BG/FDR Amount" numFmtId="0">
      <sharedItems containsString="0" containsBlank="1" containsNumber="1" containsInteger="1" minValue="1000" maxValue="937000"/>
    </cacheField>
    <cacheField name="Additional Performance Security BG/FDR Date" numFmtId="0">
      <sharedItems containsNonDate="0" containsDate="1" containsString="0" containsBlank="1" minDate="2025-06-23T00:00:00" maxDate="2025-10-30T00:00:00"/>
    </cacheField>
    <cacheField name="Time Limit Starts From Date" numFmtId="0">
      <sharedItems containsNonDate="0" containsDate="1" containsString="0" containsBlank="1" minDate="2024-08-25T00:00:00" maxDate="2025-12-02T00:00:00"/>
    </cacheField>
    <cacheField name="Work Order Worksheet No." numFmtId="0">
      <sharedItems containsString="0" containsBlank="1" containsNumber="1" containsInteger="1" minValue="949" maxValue="1510"/>
    </cacheField>
    <cacheField name="Work Order  Date" numFmtId="0">
      <sharedItems containsNonDate="0" containsDate="1" containsString="0" containsBlank="1" minDate="2025-07-14T00:00:00" maxDate="2025-11-11T00:00:00"/>
    </cacheField>
    <cacheField name="Notice 1 WS No" numFmtId="0">
      <sharedItems containsNonDate="0" containsString="0" containsBlank="1"/>
    </cacheField>
    <cacheField name="Notice 1 Date" numFmtId="0">
      <sharedItems containsNonDate="0" containsString="0" containsBlank="1"/>
    </cacheField>
    <cacheField name="Notice 2 WS No" numFmtId="0">
      <sharedItems containsNonDate="0" containsString="0" containsBlank="1"/>
    </cacheField>
    <cacheField name="Notice 2 D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SITARAM" refreshedDate="45976.750305671296" createdVersion="8" refreshedVersion="8" minRefreshableVersion="3" recordCount="393" xr:uid="{7878E1A4-8D4E-4F77-8489-E007E7D9E850}">
  <cacheSource type="worksheet">
    <worksheetSource ref="A1:AI202" sheet="Tender"/>
  </cacheSource>
  <cacheFields count="67">
    <cacheField name="Sr. No." numFmtId="0">
      <sharedItems containsString="0" containsBlank="1" containsNumber="1" containsInteger="1" minValue="1" maxValue="392"/>
    </cacheField>
    <cacheField name="Job No. Year" numFmtId="0">
      <sharedItems containsBlank="1"/>
    </cacheField>
    <cacheField name="Tender Notice Year" numFmtId="0">
      <sharedItems containsBlank="1"/>
    </cacheField>
    <cacheField name="Tender Notice No." numFmtId="0">
      <sharedItems containsString="0" containsBlank="1" containsNumber="1" containsInteger="1" minValue="1" maxValue="17"/>
    </cacheField>
    <cacheField name="Tender Notice Sub No." numFmtId="0">
      <sharedItems containsString="0" containsBlank="1" containsNumber="1" containsInteger="1" minValue="1" maxValue="141"/>
    </cacheField>
    <cacheField name="Name of Work" numFmtId="0">
      <sharedItems containsBlank="1"/>
    </cacheField>
    <cacheField name="Name of Roads" numFmtId="0">
      <sharedItems containsBlank="1" longText="1"/>
    </cacheField>
    <cacheField name="Taluka" numFmtId="0">
      <sharedItems containsBlank="1"/>
    </cacheField>
    <cacheField name="Sub Division" numFmtId="0">
      <sharedItems containsBlank="1"/>
    </cacheField>
    <cacheField name="Type" numFmtId="0">
      <sharedItems containsBlank="1"/>
    </cacheField>
    <cacheField name="Category of Work" numFmtId="0">
      <sharedItems containsBlank="1"/>
    </cacheField>
    <cacheField name="Tender ID" numFmtId="0">
      <sharedItems containsString="0" containsBlank="1" containsNumber="1" containsInteger="1" minValue="171465" maxValue="221660"/>
    </cacheField>
    <cacheField name="Trial No." numFmtId="0">
      <sharedItems containsString="0" containsBlank="1" containsNumber="1" containsInteger="1" minValue="1" maxValue="11"/>
    </cacheField>
    <cacheField name="Tender Creation Date Date" numFmtId="164">
      <sharedItems containsNonDate="0" containsDate="1" containsString="0" containsBlank="1" minDate="2025-04-03T00:00:00" maxDate="2025-09-04T00:00:00"/>
    </cacheField>
    <cacheField name="Last Date of Submission" numFmtId="164">
      <sharedItems containsNonDate="0" containsDate="1" containsString="0" containsBlank="1" minDate="2025-04-15T00:00:00" maxDate="2025-09-16T00:00:00"/>
    </cacheField>
    <cacheField name="Tender Opening Date" numFmtId="164">
      <sharedItems containsNonDate="0" containsDate="1" containsString="0" containsBlank="1" minDate="2025-04-16T00:00:00" maxDate="2025-09-17T00:00:00"/>
    </cacheField>
    <cacheField name="Tender Validity Period" numFmtId="0">
      <sharedItems containsNonDate="0" containsDate="1" containsString="0" containsBlank="1" minDate="1900-04-29T00:00:00" maxDate="2026-01-14T00:00:00"/>
    </cacheField>
    <cacheField name="Estimated Amount" numFmtId="4">
      <sharedItems containsString="0" containsBlank="1" containsNumber="1" minValue="202031.85" maxValue="419152057.25"/>
    </cacheField>
    <cacheField name="Re-Invite?" numFmtId="0">
      <sharedItems containsBlank="1"/>
    </cacheField>
    <cacheField name="Contract Price" numFmtId="4">
      <sharedItems containsString="0" containsBlank="1" containsNumber="1" minValue="183101.47" maxValue="334063461.57999998"/>
    </cacheField>
    <cacheField name="Above/ Below (%)" numFmtId="0">
      <sharedItems containsString="0" containsBlank="1" containsNumber="1" minValue="-33" maxValue="87.4"/>
    </cacheField>
    <cacheField name="Above/ Below (in word)" numFmtId="0">
      <sharedItems containsBlank="1"/>
    </cacheField>
    <cacheField name="Contract Price in words" numFmtId="0">
      <sharedItems containsBlank="1"/>
    </cacheField>
    <cacheField name="Tender Level" numFmtId="0">
      <sharedItems containsBlank="1"/>
    </cacheField>
    <cacheField name="Maintenance Amount" numFmtId="0">
      <sharedItems containsString="0" containsBlank="1" containsNumber="1" minValue="468077.87" maxValue="1224193.3999999999"/>
    </cacheField>
    <cacheField name="Total (A+B)" numFmtId="0">
      <sharedItems containsString="0" containsBlank="1" containsNumber="1" minValue="0" maxValue="334063461.57999998"/>
    </cacheField>
    <cacheField name="Contract Awarded to" numFmtId="0">
      <sharedItems containsBlank="1" count="81">
        <s v="KRISHNA CONSTRUCTION"/>
        <s v="OM CONSTRUCTION CO."/>
        <s v="VIJAYBHAI MOHANBHAI SINDHAV"/>
        <m/>
        <s v="VCPROJECT &amp; INFRA PVT. LTD."/>
        <s v="SHIV DHARA ENTERPRISE"/>
        <s v="C M VAGHELA"/>
        <s v="V M SOJITRA"/>
        <s v="BHAVANI CONSTRUCTION COMPANY"/>
        <s v="ASHAPURA CONSTRUCTION"/>
        <s v="Universal associates"/>
        <s v="SAMIR H SAIYAD"/>
        <s v="VASHRAMBHAI BIJALBHAI AND CO"/>
        <s v="CHAUHAN LALJIBHAI ARJANBHAI"/>
        <s v="JAY KANDHAL CONSTRUCTION"/>
        <s v="JAY PAVER BLOCK"/>
        <s v="SHIV CONTRUCTION"/>
        <s v="UDAYBHAI R. LUNSAR"/>
        <s v="SANDIP DINESHBHAI VANZARA"/>
        <s v="ASHOKBHAI PARSHOTAMBHAI_x000a_BARAIYA"/>
        <s v="MAYANKKUMAR JAYANTIBHAI GODHANI"/>
        <s v="DEV CONSTRUCTION"/>
        <s v="Shri Siddhi Vinayak Construction"/>
        <s v="BABUBHAI HAKABHAI GOHIL"/>
        <s v="Aarti Construction"/>
        <s v="GOHIL NARENDRASINH P"/>
        <s v="VANDEMATARAM CONSTRUCTION"/>
        <s v="BALAJI CONSTRUCTION"/>
        <s v="SARVAIYA RAJENDRASINH BAHADURSINH"/>
        <s v="CUBE INFA PROJECTS"/>
        <s v="S D KHUMAN"/>
        <s v="HARBHOLE BUILDERS &amp;_x000a_CONSTRUCTION"/>
        <s v="SURYADEEP SUPPLIERS"/>
        <s v="PARTH K MEHTA"/>
        <s v="MOGAL CONSTRUCTION, Gir Somnath"/>
        <s v="RUDRA CONSTRUCTION"/>
        <s v="JAY DANEV CONSTRUCTION"/>
        <s v="JAY PUNJESHWAR CONSTRUCTION"/>
        <s v="Jaysukhbhai Dhirubhai Sardhara"/>
        <s v="GANESH BUILDERS"/>
        <s v="SOMNATH ENTERPRISE"/>
        <s v="KEVAL BUDHESHBHAI BHAYANI"/>
        <s v="HEER CONSTRUCTION"/>
        <s v="HRUTURAJSINH JESUBHA GOHIL"/>
        <s v="VARAHI CONSTRUCTION"/>
        <s v="MESHWA DEVELOPERS"/>
        <s v="Parishram Construction"/>
        <s v="EAGLE CONSTRUCTION"/>
        <s v="kalubhai bholabhai ladumor"/>
        <s v="Vivek Construction"/>
        <s v="KAIRAV CONSTRUCTION"/>
        <s v="GOPNATHJI CONSTRUCTIONS PRIVATE LIMITED"/>
        <s v="R J BHAMMAR CONSTRUCTION"/>
        <s v="SADGURU CONSTRUCTION"/>
        <s v="TULSI CEMENT PRODUCTS"/>
        <s v="HARPALSINH AMARSINH SARVAIYA"/>
        <s v="R M Dasa Infrastructure Pvt. Ltd."/>
        <s v="SITARAM CONSTRUCTION"/>
        <s v="PRUTHVI CORPORATION"/>
        <s v="Suraj Corporation"/>
        <s v="MAHI INFRASTRUCTURE"/>
        <s v="HARI OM CONSTRUCTION CO."/>
        <s v="JAYDEEP CONSTRUCTION CO"/>
        <s v="SHIVAM CONSTRUCTION"/>
        <s v="SHREEJI STONE INDUSTRIES"/>
        <s v="RUDRA CONSTRUCTION COMPANY"/>
        <s v="Harekrishna Construction"/>
        <s v="Bhupatbhai B. Baraiya"/>
        <s v="RAJABHAI NAGJIBHAI ZALA "/>
        <s v="V M ENTERPRISE"/>
        <s v="C.M.CONSTRUCTION"/>
        <s v="SHIVGADH BUILDERS"/>
        <s v="RAJ SECURITY SERVICES"/>
        <s v="SHRI KRISHNA CONSTRUCTION"/>
        <s v="ANSH INFRASTRUCTURE"/>
        <s v="Shri Harikrishna Construction"/>
        <s v="SHRI SAINATH CONSTRUCTION_x000a_COMPANY"/>
        <s v="Sureshbhai R Chavda"/>
        <s v="SHREE GANGNATH_x000a_CONSTRUCTION"/>
        <s v="Om Construction Co" u="1"/>
        <s v="VC PROJECT &amp; INFRA PVT. LTD." u="1"/>
      </sharedItems>
    </cacheField>
    <cacheField name="_x000a_Name of Proprietor" numFmtId="0">
      <sharedItems containsBlank="1" containsMixedTypes="1" containsNumber="1" containsInteger="1" minValue="0" maxValue="0"/>
    </cacheField>
    <cacheField name="Contractor Address" numFmtId="0">
      <sharedItems containsBlank="1" containsMixedTypes="1" containsNumber="1" containsInteger="1" minValue="0" maxValue="0"/>
    </cacheField>
    <cacheField name="Mobile No." numFmtId="0">
      <sharedItems containsBlank="1" containsMixedTypes="1" containsNumber="1" containsInteger="1" minValue="0" maxValue="9998577523"/>
    </cacheField>
    <cacheField name="Proposal Date" numFmtId="0">
      <sharedItems containsNonDate="0" containsDate="1" containsString="0" containsBlank="1" minDate="2025-04-30T00:00:00" maxDate="2025-09-25T00:00:00"/>
    </cacheField>
    <cacheField name="Name of Scheme" numFmtId="0">
      <sharedItems containsBlank="1"/>
    </cacheField>
    <cacheField name="Tender Approval Office" numFmtId="0">
      <sharedItems containsBlank="1"/>
    </cacheField>
    <cacheField name="Tender Approval No." numFmtId="0">
      <sharedItems containsBlank="1"/>
    </cacheField>
    <cacheField name="Tender Approval Date" numFmtId="0">
      <sharedItems containsDate="1" containsBlank="1" containsMixedTypes="1" minDate="2025-05-14T00:00:00" maxDate="2025-10-15T00:00:00"/>
    </cacheField>
    <cacheField name="Duration of Work (in Months)" numFmtId="0">
      <sharedItems containsString="0" containsBlank="1" containsNumber="1" containsInteger="1" minValue="1" maxValue="12"/>
    </cacheField>
    <cacheField name="Required Security Deposit Amount (5% of Contract Price )" numFmtId="0">
      <sharedItems containsString="0" containsBlank="1" containsNumber="1" containsInteger="1" minValue="0" maxValue="16704000"/>
    </cacheField>
    <cacheField name="Date upto which Security Security Deposit Required" numFmtId="0">
      <sharedItems containsNonDate="0" containsDate="1" containsString="0" containsBlank="1" minDate="1901-03-25T00:00:00" maxDate="2030-01-10T00:00:00"/>
    </cacheField>
    <cacheField name="Required Stamp Duty (4.90% of Security Deposit) " numFmtId="0">
      <sharedItems containsString="0" containsBlank="1" containsNumber="1" containsInteger="1" minValue="0" maxValue="818500"/>
    </cacheField>
    <cacheField name="Required Additional Performance Security Deposit Amount" numFmtId="0">
      <sharedItems containsString="0" containsBlank="1" containsNumber="1" containsInteger="1" minValue="0" maxValue="1340000"/>
    </cacheField>
    <cacheField name="Date upto which Additional Performance Security Deposit Required" numFmtId="0">
      <sharedItems containsNonDate="0" containsDate="1" containsString="0" containsBlank="1" minDate="1900-02-03T00:00:00" maxDate="2026-12-02T00:00:00"/>
    </cacheField>
    <cacheField name="Defect Liability Period (Date)" numFmtId="0">
      <sharedItems containsNonDate="0" containsDate="1" containsString="0" containsBlank="1" minDate="1901-01-24T00:00:00" maxDate="2029-11-11T00:00:00"/>
    </cacheField>
    <cacheField name="Tender Acceptance Letter Worksheet No." numFmtId="0">
      <sharedItems containsString="0" containsBlank="1" containsNumber="1" containsInteger="1" minValue="370" maxValue="1529"/>
    </cacheField>
    <cacheField name="Tender Acceptance Letter Date" numFmtId="0">
      <sharedItems containsNonDate="0" containsDate="1" containsString="0" containsBlank="1" minDate="2025-05-20T00:00:00" maxDate="2025-11-14T00:00:00"/>
    </cacheField>
    <cacheField name="Agreement Year" numFmtId="0">
      <sharedItems containsBlank="1"/>
    </cacheField>
    <cacheField name="Agreement No." numFmtId="0">
      <sharedItems containsString="0" containsBlank="1" containsNumber="1" containsInteger="1" minValue="45" maxValue="211"/>
    </cacheField>
    <cacheField name="Agreement Date" numFmtId="0">
      <sharedItems containsNonDate="0" containsDate="1" containsString="0" containsBlank="1" minDate="2025-07-14T00:00:00" maxDate="2025-11-14T00:00:00"/>
    </cacheField>
    <cacheField name="Security Deposit Type (BG/ FDR)" numFmtId="0">
      <sharedItems containsBlank="1"/>
    </cacheField>
    <cacheField name="Bank Name of Security Deposit BG/ FDR)" numFmtId="0">
      <sharedItems containsBlank="1"/>
    </cacheField>
    <cacheField name="Security Deposit BG/ FDR Number " numFmtId="0">
      <sharedItems containsBlank="1" containsMixedTypes="1" containsNumber="1" containsInteger="1" minValue="5856182489" maxValue="771613001573"/>
    </cacheField>
    <cacheField name="Security Deposit BG/ FDR Amount" numFmtId="0">
      <sharedItems containsString="0" containsBlank="1" containsNumber="1" containsInteger="1" minValue="24000" maxValue="1943000"/>
    </cacheField>
    <cacheField name="Security Deposit BG/ FDR Date" numFmtId="0">
      <sharedItems containsNonDate="0" containsDate="1" containsString="0" containsBlank="1" minDate="2025-06-16T00:00:00" maxDate="2025-11-04T00:00:00"/>
    </cacheField>
    <cacheField name="Additional Performance Security Deposit BG/ FDR Type" numFmtId="0">
      <sharedItems containsBlank="1"/>
    </cacheField>
    <cacheField name="Bank Name of Additional Performance Security Deposit" numFmtId="0">
      <sharedItems containsBlank="1"/>
    </cacheField>
    <cacheField name="Additional Performance Security BG/FDR No." numFmtId="0">
      <sharedItems containsBlank="1" containsMixedTypes="1" containsNumber="1" containsInteger="1" minValue="8115723852" maxValue="78049184811"/>
    </cacheField>
    <cacheField name="Additional Performance Security BG/FDR Amount" numFmtId="0">
      <sharedItems containsString="0" containsBlank="1" containsNumber="1" containsInteger="1" minValue="1000" maxValue="937000"/>
    </cacheField>
    <cacheField name="Additional Performance Security BG/FDR Date" numFmtId="0">
      <sharedItems containsNonDate="0" containsDate="1" containsString="0" containsBlank="1" minDate="2025-06-23T00:00:00" maxDate="2025-11-04T00:00:00"/>
    </cacheField>
    <cacheField name="Time Limit Starts From Date" numFmtId="0">
      <sharedItems containsNonDate="0" containsDate="1" containsString="0" containsBlank="1" minDate="2024-08-25T00:00:00" maxDate="2025-12-02T00:00:00"/>
    </cacheField>
    <cacheField name="Work Order Worksheet No." numFmtId="0">
      <sharedItems containsString="0" containsBlank="1" containsNumber="1" containsInteger="1" minValue="949" maxValue="1539"/>
    </cacheField>
    <cacheField name="Work Order  Date" numFmtId="0">
      <sharedItems containsNonDate="0" containsDate="1" containsString="0" containsBlank="1" minDate="2025-07-14T00:00:00" maxDate="2025-11-14T00:00:00"/>
    </cacheField>
    <cacheField name="Notice 1 WS No" numFmtId="0">
      <sharedItems containsNonDate="0" containsString="0" containsBlank="1"/>
    </cacheField>
    <cacheField name="Notice 1 Date" numFmtId="0">
      <sharedItems containsNonDate="0" containsString="0" containsBlank="1"/>
    </cacheField>
    <cacheField name="Notice 2 WS No" numFmtId="0">
      <sharedItems containsNonDate="0" containsString="0" containsBlank="1"/>
    </cacheField>
    <cacheField name="Notice 2 Date" numFmtId="0">
      <sharedItems containsNonDate="0" containsString="0" containsBlank="1"/>
    </cacheField>
    <cacheField name="Notice 3 WS No" numFmtId="0">
      <sharedItems containsNonDate="0" containsString="0" containsBlank="1"/>
    </cacheField>
    <cacheField name="Notice 3 Date" numFmtId="0">
      <sharedItems containsNonDate="0" containsString="0" containsBlank="1"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SITARAM" refreshedDate="45999.574175810187" createdVersion="8" refreshedVersion="8" minRefreshableVersion="3" recordCount="402" xr:uid="{34BFB1F6-D6E1-497A-8CCB-7D3907144922}">
  <cacheSource type="worksheet">
    <worksheetSource ref="A1:AI352" sheet="Tender"/>
  </cacheSource>
  <cacheFields count="67">
    <cacheField name="Sr. No." numFmtId="0">
      <sharedItems containsString="0" containsBlank="1" containsNumber="1" containsInteger="1" minValue="1" maxValue="401"/>
    </cacheField>
    <cacheField name="Job No. Year" numFmtId="0">
      <sharedItems containsBlank="1"/>
    </cacheField>
    <cacheField name="Tender Notice Year" numFmtId="0">
      <sharedItems containsBlank="1"/>
    </cacheField>
    <cacheField name="Tender Notice No." numFmtId="0">
      <sharedItems containsString="0" containsBlank="1" containsNumber="1" containsInteger="1" minValue="1" maxValue="21"/>
    </cacheField>
    <cacheField name="Tender Notice Sub No." numFmtId="0">
      <sharedItems containsString="0" containsBlank="1" containsNumber="1" containsInteger="1" minValue="1" maxValue="141"/>
    </cacheField>
    <cacheField name="Name of Work" numFmtId="0">
      <sharedItems containsBlank="1"/>
    </cacheField>
    <cacheField name="Name of Roads" numFmtId="0">
      <sharedItems containsBlank="1" longText="1"/>
    </cacheField>
    <cacheField name="Taluka" numFmtId="0">
      <sharedItems containsBlank="1"/>
    </cacheField>
    <cacheField name="Sub Division" numFmtId="0">
      <sharedItems containsBlank="1" count="8">
        <s v="Vallabhipur"/>
        <s v="Mahuva"/>
        <s v="Bhavnagar"/>
        <s v="Palitana"/>
        <s v="Talaja"/>
        <s v="Shihor"/>
        <e v="#N/A"/>
        <m/>
      </sharedItems>
    </cacheField>
    <cacheField name="Type" numFmtId="0">
      <sharedItems containsBlank="1"/>
    </cacheField>
    <cacheField name="Category of Work" numFmtId="0">
      <sharedItems containsBlank="1"/>
    </cacheField>
    <cacheField name="Tender ID" numFmtId="0">
      <sharedItems containsString="0" containsBlank="1" containsNumber="1" containsInteger="1" minValue="171465" maxValue="237000"/>
    </cacheField>
    <cacheField name="Trial No." numFmtId="0">
      <sharedItems containsString="0" containsBlank="1" containsNumber="1" containsInteger="1" minValue="1" maxValue="12"/>
    </cacheField>
    <cacheField name="Tender Creation Date Date" numFmtId="164">
      <sharedItems containsNonDate="0" containsDate="1" containsString="0" containsBlank="1" minDate="2025-04-03T00:00:00" maxDate="2025-10-19T00:00:00"/>
    </cacheField>
    <cacheField name="Last Date of Submission" numFmtId="164">
      <sharedItems containsNonDate="0" containsDate="1" containsString="0" containsBlank="1" minDate="2025-04-15T00:00:00" maxDate="2025-11-04T00:00:00"/>
    </cacheField>
    <cacheField name="Tender Opening Date" numFmtId="164">
      <sharedItems containsNonDate="0" containsDate="1" containsString="0" containsBlank="1" minDate="2025-04-16T00:00:00" maxDate="2025-11-05T00:00:00"/>
    </cacheField>
    <cacheField name="Tender Validity Period" numFmtId="0">
      <sharedItems containsNonDate="0" containsDate="1" containsString="0" containsBlank="1" minDate="1900-04-29T00:00:00" maxDate="2026-03-04T00:00:00"/>
    </cacheField>
    <cacheField name="Estimated Amount" numFmtId="4">
      <sharedItems containsString="0" containsBlank="1" containsNumber="1" minValue="0" maxValue="419152057.25"/>
    </cacheField>
    <cacheField name="Re-Invite?" numFmtId="0">
      <sharedItems containsBlank="1"/>
    </cacheField>
    <cacheField name="Contract Price" numFmtId="4">
      <sharedItems containsString="0" containsBlank="1" containsNumber="1" minValue="0" maxValue="334063461.57999998"/>
    </cacheField>
    <cacheField name="Above/ Below (%)" numFmtId="0">
      <sharedItems containsString="0" containsBlank="1" containsNumber="1" minValue="-33" maxValue="87.4"/>
    </cacheField>
    <cacheField name="Above/ Below (in word)" numFmtId="0">
      <sharedItems containsBlank="1"/>
    </cacheField>
    <cacheField name="Contract Price in words" numFmtId="0">
      <sharedItems containsBlank="1"/>
    </cacheField>
    <cacheField name="Tender Level" numFmtId="0">
      <sharedItems containsBlank="1"/>
    </cacheField>
    <cacheField name="Maintenance Amount" numFmtId="0">
      <sharedItems containsString="0" containsBlank="1" containsNumber="1" minValue="468077.87" maxValue="1224193.3999999999"/>
    </cacheField>
    <cacheField name="Total (A+B)" numFmtId="0">
      <sharedItems containsString="0" containsBlank="1" containsNumber="1" minValue="0" maxValue="334063461.57999998"/>
    </cacheField>
    <cacheField name="Contract Awarded to" numFmtId="0">
      <sharedItems containsBlank="1"/>
    </cacheField>
    <cacheField name="_x000a_Name of Proprietor" numFmtId="0">
      <sharedItems containsBlank="1" containsMixedTypes="1" containsNumber="1" containsInteger="1" minValue="0" maxValue="0"/>
    </cacheField>
    <cacheField name="Contractor Address" numFmtId="0">
      <sharedItems containsBlank="1" containsMixedTypes="1" containsNumber="1" containsInteger="1" minValue="0" maxValue="0"/>
    </cacheField>
    <cacheField name="Mobile No." numFmtId="0">
      <sharedItems containsBlank="1" containsMixedTypes="1" containsNumber="1" containsInteger="1" minValue="0" maxValue="9998577523"/>
    </cacheField>
    <cacheField name="Proposal Date" numFmtId="0">
      <sharedItems containsNonDate="0" containsDate="1" containsString="0" containsBlank="1" minDate="2025-04-30T00:00:00" maxDate="2025-11-14T00:00:00"/>
    </cacheField>
    <cacheField name="Name of Scheme" numFmtId="0">
      <sharedItems containsBlank="1"/>
    </cacheField>
    <cacheField name="Tender Approval Office" numFmtId="0">
      <sharedItems containsBlank="1"/>
    </cacheField>
    <cacheField name="Tender Approval No." numFmtId="0">
      <sharedItems containsBlank="1"/>
    </cacheField>
    <cacheField name="Tender Approval Date" numFmtId="0">
      <sharedItems containsDate="1" containsBlank="1" containsMixedTypes="1" minDate="2025-05-14T00:00:00" maxDate="2025-11-26T00:00:00"/>
    </cacheField>
    <cacheField name="Duration of Work (in Months)" numFmtId="0">
      <sharedItems containsString="0" containsBlank="1" containsNumber="1" containsInteger="1" minValue="1" maxValue="12"/>
    </cacheField>
    <cacheField name="Required Security Deposit Amount (5% of Contract Price )" numFmtId="0">
      <sharedItems containsString="0" containsBlank="1" containsNumber="1" containsInteger="1" minValue="0" maxValue="16704000"/>
    </cacheField>
    <cacheField name="Date upto which Security Security Deposit Required" numFmtId="0">
      <sharedItems containsNonDate="0" containsDate="1" containsString="0" containsBlank="1" minDate="1901-03-25T00:00:00" maxDate="2030-01-10T00:00:00"/>
    </cacheField>
    <cacheField name="Required Stamp Duty (4.90% of Security Deposit) " numFmtId="0">
      <sharedItems containsString="0" containsBlank="1" containsNumber="1" containsInteger="1" minValue="0" maxValue="818500"/>
    </cacheField>
    <cacheField name="Required Additional Performance Security Deposit Amount" numFmtId="0">
      <sharedItems containsString="0" containsBlank="1" containsNumber="1" containsInteger="1" minValue="0" maxValue="1340000"/>
    </cacheField>
    <cacheField name="Date upto which Additional Performance Security Deposit Required" numFmtId="0">
      <sharedItems containsNonDate="0" containsDate="1" containsString="0" containsBlank="1" minDate="1900-02-03T00:00:00" maxDate="2026-12-02T00:00:00"/>
    </cacheField>
    <cacheField name="Defect Liability Period (Date)" numFmtId="0">
      <sharedItems containsNonDate="0" containsDate="1" containsString="0" containsBlank="1" minDate="1901-01-24T00:00:00" maxDate="2029-11-11T00:00:00"/>
    </cacheField>
    <cacheField name="Tender Acceptance Letter Worksheet No." numFmtId="0">
      <sharedItems containsString="0" containsBlank="1" containsNumber="1" containsInteger="1" minValue="370" maxValue="1668"/>
    </cacheField>
    <cacheField name="Tender Acceptance Letter Date" numFmtId="0">
      <sharedItems containsNonDate="0" containsDate="1" containsString="0" containsBlank="1" minDate="2025-05-20T00:00:00" maxDate="2025-11-27T00:00:00"/>
    </cacheField>
    <cacheField name="Agreement Year" numFmtId="0">
      <sharedItems containsBlank="1"/>
    </cacheField>
    <cacheField name="Agreement No." numFmtId="0">
      <sharedItems containsString="0" containsBlank="1" containsNumber="1" containsInteger="1" minValue="45" maxValue="221"/>
    </cacheField>
    <cacheField name="Agreement Date" numFmtId="0">
      <sharedItems containsNonDate="0" containsDate="1" containsString="0" containsBlank="1" minDate="2025-07-14T00:00:00" maxDate="2025-12-03T00:00:00"/>
    </cacheField>
    <cacheField name="Security Deposit Type (BG/ FDR)" numFmtId="0">
      <sharedItems containsBlank="1" longText="1"/>
    </cacheField>
    <cacheField name="Bank Name of Security Deposit BG/ FDR)" numFmtId="0">
      <sharedItems containsBlank="1"/>
    </cacheField>
    <cacheField name="Security Deposit BG/ FDR Number " numFmtId="0">
      <sharedItems containsBlank="1" containsMixedTypes="1" containsNumber="1" containsInteger="1" minValue="5856182489" maxValue="771613001573"/>
    </cacheField>
    <cacheField name="Security Deposit BG/ FDR Amount" numFmtId="0">
      <sharedItems containsString="0" containsBlank="1" containsNumber="1" containsInteger="1" minValue="10000" maxValue="1943000"/>
    </cacheField>
    <cacheField name="Security Deposit BG/ FDR Date" numFmtId="0">
      <sharedItems containsNonDate="0" containsDate="1" containsString="0" containsBlank="1" minDate="2025-06-16T00:00:00" maxDate="2025-11-28T00:00:00"/>
    </cacheField>
    <cacheField name="Additional Performance Security Deposit BG/ FDR Type" numFmtId="0">
      <sharedItems containsBlank="1"/>
    </cacheField>
    <cacheField name="Bank Name of Additional Performance Security Deposit" numFmtId="0">
      <sharedItems containsBlank="1"/>
    </cacheField>
    <cacheField name="Additional Performance Security BG/FDR No." numFmtId="0">
      <sharedItems containsBlank="1" containsMixedTypes="1" containsNumber="1" containsInteger="1" minValue="8115723852" maxValue="78049184811"/>
    </cacheField>
    <cacheField name="Additional Performance Security BG/FDR Amount" numFmtId="0">
      <sharedItems containsBlank="1" containsMixedTypes="1" containsNumber="1" containsInteger="1" minValue="1000" maxValue="1246000"/>
    </cacheField>
    <cacheField name="Additional Performance Security BG/FDR Date" numFmtId="0">
      <sharedItems containsNonDate="0" containsDate="1" containsString="0" containsBlank="1" minDate="2025-06-23T00:00:00" maxDate="2025-11-04T00:00:00"/>
    </cacheField>
    <cacheField name="Time Limit Starts From Date" numFmtId="0">
      <sharedItems containsNonDate="0" containsDate="1" containsString="0" containsBlank="1" minDate="2024-08-25T00:00:00" maxDate="2026-01-02T00:00:00"/>
    </cacheField>
    <cacheField name="Work Order Worksheet No." numFmtId="0">
      <sharedItems containsString="0" containsBlank="1" containsNumber="1" containsInteger="1" minValue="949" maxValue="1593"/>
    </cacheField>
    <cacheField name="Work Order  Date" numFmtId="0">
      <sharedItems containsNonDate="0" containsDate="1" containsString="0" containsBlank="1" minDate="2025-07-14T00:00:00" maxDate="2025-12-03T00:00:00"/>
    </cacheField>
    <cacheField name="Notice 1 WS No" numFmtId="0">
      <sharedItems containsNonDate="0" containsString="0" containsBlank="1"/>
    </cacheField>
    <cacheField name="Notice 1 Date" numFmtId="0">
      <sharedItems containsNonDate="0" containsString="0" containsBlank="1"/>
    </cacheField>
    <cacheField name="Notice 2 WS No" numFmtId="0">
      <sharedItems containsNonDate="0" containsString="0" containsBlank="1"/>
    </cacheField>
    <cacheField name="Notice 2 Date" numFmtId="0">
      <sharedItems containsNonDate="0" containsString="0" containsBlank="1"/>
    </cacheField>
    <cacheField name="Notice 3 WS No" numFmtId="0">
      <sharedItems containsNonDate="0" containsString="0" containsBlank="1"/>
    </cacheField>
    <cacheField name="Notice 3 Date" numFmtId="0">
      <sharedItems containsNonDate="0" containsString="0" containsBlank="1"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96B4EB-EC8D-4950-8BA1-74F35E9237F8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ender Notice No.">
  <location ref="A1:H20" firstHeaderRow="0" firstDataRow="1" firstDataCol="1"/>
  <pivotFields count="64">
    <pivotField showAll="0"/>
    <pivotField showAll="0"/>
    <pivotField showAll="0"/>
    <pivotField axis="axisRow" showAll="0" sortType="ascending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4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b Notices" fld="4" subtotal="count" baseField="2" baseItem="0"/>
    <dataField name="Re-Invite" fld="18" subtotal="count" baseField="2" baseItem="0"/>
    <dataField name="Contract Awarded" fld="26" subtotal="count" baseField="0" baseItem="0"/>
    <dataField name="Proposal Sent" fld="30" subtotal="count" baseField="0" baseItem="0"/>
    <dataField name="Tender Approved" fld="34" subtotal="count" baseField="0" baseItem="0"/>
    <dataField name="LoA Sent" fld="43" subtotal="count" baseField="0" baseItem="0"/>
    <dataField name="Work Order Given" fld="59" subtotal="count" baseField="0" baseItem="0"/>
  </dataFields>
  <formats count="25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3" type="button" dataOnly="0" labelOnly="1" outline="0" axis="axisRow" fieldPosition="0"/>
    </format>
    <format dxfId="24">
      <pivotArea dataOnly="0" labelOnly="1" fieldPosition="0">
        <references count="1">
          <reference field="3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3" type="button" dataOnly="0" labelOnly="1" outline="0" axis="axisRow" fieldPosition="0"/>
    </format>
    <format dxfId="18">
      <pivotArea dataOnly="0" labelOnly="1" fieldPosition="0">
        <references count="1">
          <reference field="3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fieldPosition="0">
        <references count="1">
          <reference field="3" count="0"/>
        </references>
      </pivotArea>
    </format>
    <format dxfId="11">
      <pivotArea dataOnly="0" labelOnly="1" grandRow="1" outline="0" fieldPosition="0"/>
    </format>
    <format dxfId="1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8F37A3-5D49-4B3F-8580-4CFF4B42E5B6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81" firstHeaderRow="1" firstDataRow="1" firstDataCol="1"/>
  <pivotFields count="6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82">
        <item x="9"/>
        <item x="8"/>
        <item x="6"/>
        <item x="13"/>
        <item x="0"/>
        <item m="1" x="79"/>
        <item x="1"/>
        <item x="11"/>
        <item x="5"/>
        <item x="10"/>
        <item x="7"/>
        <item x="12"/>
        <item m="1" x="80"/>
        <item x="2"/>
        <item x="3"/>
        <item x="4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6"/>
  </rowFields>
  <rowItems count="80">
    <i>
      <x v="64"/>
    </i>
    <i>
      <x v="4"/>
    </i>
    <i>
      <x v="6"/>
    </i>
    <i>
      <x v="63"/>
    </i>
    <i>
      <x v="2"/>
    </i>
    <i>
      <x v="1"/>
    </i>
    <i>
      <x v="9"/>
    </i>
    <i>
      <x v="59"/>
    </i>
    <i>
      <x v="8"/>
    </i>
    <i>
      <x v="15"/>
    </i>
    <i>
      <x v="7"/>
    </i>
    <i>
      <x v="76"/>
    </i>
    <i>
      <x v="60"/>
    </i>
    <i>
      <x v="78"/>
    </i>
    <i>
      <x v="19"/>
    </i>
    <i>
      <x v="10"/>
    </i>
    <i>
      <x v="61"/>
    </i>
    <i>
      <x v="35"/>
    </i>
    <i>
      <x v="65"/>
    </i>
    <i>
      <x v="13"/>
    </i>
    <i>
      <x v="18"/>
    </i>
    <i>
      <x/>
    </i>
    <i>
      <x v="58"/>
    </i>
    <i>
      <x v="3"/>
    </i>
    <i>
      <x v="77"/>
    </i>
    <i>
      <x v="23"/>
    </i>
    <i>
      <x v="69"/>
    </i>
    <i>
      <x v="31"/>
    </i>
    <i>
      <x v="11"/>
    </i>
    <i>
      <x v="26"/>
    </i>
    <i>
      <x v="20"/>
    </i>
    <i>
      <x v="49"/>
    </i>
    <i>
      <x v="42"/>
    </i>
    <i>
      <x v="34"/>
    </i>
    <i>
      <x v="25"/>
    </i>
    <i>
      <x v="37"/>
    </i>
    <i>
      <x v="28"/>
    </i>
    <i>
      <x v="24"/>
    </i>
    <i>
      <x v="40"/>
    </i>
    <i>
      <x v="46"/>
    </i>
    <i>
      <x v="21"/>
    </i>
    <i>
      <x v="22"/>
    </i>
    <i>
      <x v="62"/>
    </i>
    <i>
      <x v="67"/>
    </i>
    <i>
      <x v="71"/>
    </i>
    <i>
      <x v="29"/>
    </i>
    <i>
      <x v="39"/>
    </i>
    <i>
      <x v="32"/>
    </i>
    <i>
      <x v="45"/>
    </i>
    <i>
      <x v="44"/>
    </i>
    <i>
      <x v="27"/>
    </i>
    <i>
      <x v="43"/>
    </i>
    <i>
      <x v="48"/>
    </i>
    <i>
      <x v="30"/>
    </i>
    <i>
      <x v="38"/>
    </i>
    <i>
      <x v="53"/>
    </i>
    <i>
      <x v="17"/>
    </i>
    <i>
      <x v="50"/>
    </i>
    <i>
      <x v="54"/>
    </i>
    <i>
      <x v="72"/>
    </i>
    <i>
      <x v="52"/>
    </i>
    <i>
      <x v="66"/>
    </i>
    <i>
      <x v="57"/>
    </i>
    <i>
      <x v="68"/>
    </i>
    <i>
      <x v="16"/>
    </i>
    <i>
      <x v="79"/>
    </i>
    <i>
      <x v="70"/>
    </i>
    <i>
      <x v="47"/>
    </i>
    <i>
      <x v="36"/>
    </i>
    <i>
      <x v="41"/>
    </i>
    <i>
      <x v="33"/>
    </i>
    <i>
      <x v="73"/>
    </i>
    <i>
      <x v="51"/>
    </i>
    <i>
      <x v="55"/>
    </i>
    <i>
      <x v="80"/>
    </i>
    <i>
      <x v="56"/>
    </i>
    <i>
      <x v="74"/>
    </i>
    <i>
      <x v="75"/>
    </i>
    <i>
      <x v="14"/>
    </i>
    <i t="grand">
      <x/>
    </i>
  </rowItems>
  <colItems count="1">
    <i/>
  </colItems>
  <dataFields count="1">
    <dataField name="Sum of Contract Price" fld="19" baseField="0" baseItem="0" numFmtId="4"/>
  </dataFields>
  <formats count="3">
    <format dxfId="2">
      <pivotArea collapsedLevelsAreSubtotals="1" fieldPosition="0">
        <references count="1">
          <reference field="26" count="1">
            <x v="0"/>
          </reference>
        </references>
      </pivotArea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A7C1E1-1EAF-4687-A503-14A1D5EB14BC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10" firstHeaderRow="1" firstDataRow="1" firstDataCol="1"/>
  <pivotFields count="67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">
        <item x="2"/>
        <item x="1"/>
        <item x="3"/>
        <item x="5"/>
        <item x="4"/>
        <item x="0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9">
    <i>
      <x/>
    </i>
    <i>
      <x v="1"/>
    </i>
    <i>
      <x v="3"/>
    </i>
    <i>
      <x v="2"/>
    </i>
    <i>
      <x v="5"/>
    </i>
    <i>
      <x v="4"/>
    </i>
    <i>
      <x v="6"/>
    </i>
    <i>
      <x v="7"/>
    </i>
    <i t="grand">
      <x/>
    </i>
  </rowItems>
  <colItems count="1">
    <i/>
  </colItems>
  <dataFields count="1">
    <dataField name="Sum of Contract Price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525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A4766D4-1CF5-4871-B507-45299E652012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Av0kApd-8jfseigTLs2r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B3F2F455-59B2-4F3B-8AAB-E356C7BCEFF6}">
  <we:reference id="wa200005669" version="2.0.0.0" store="en-IN" storeType="OMEX"/>
  <we:alternateReferences>
    <we:reference id="WA200005669" version="2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FB60C0FA-96AB-45B8-836F-75F2C6FB18BE}">
  <we:reference id="wa104380955" version="4.1.2.1" store="en-US" storeType="OMEX"/>
  <we:alternateReferences>
    <we:reference id="WA104380955" version="4.1.2.1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1BAB9-A307-44F9-9457-7888F4D9A28B}">
  <dimension ref="A1:E145"/>
  <sheetViews>
    <sheetView workbookViewId="0">
      <pane ySplit="1" topLeftCell="A5" activePane="bottomLeft" state="frozen"/>
      <selection pane="bottomLeft" activeCell="D8" sqref="D8"/>
    </sheetView>
  </sheetViews>
  <sheetFormatPr defaultColWidth="8.88671875" defaultRowHeight="14.4" x14ac:dyDescent="0.3"/>
  <cols>
    <col min="1" max="1" width="21.6640625" style="28" bestFit="1" customWidth="1"/>
    <col min="2" max="2" width="28.109375" style="29" customWidth="1"/>
    <col min="3" max="3" width="33.21875" style="29" customWidth="1"/>
    <col min="4" max="4" width="12" style="30" bestFit="1" customWidth="1"/>
    <col min="5" max="5" width="16.6640625" style="31" customWidth="1"/>
    <col min="6" max="16384" width="8.88671875" style="16"/>
  </cols>
  <sheetData>
    <row r="1" spans="1:5" s="22" customFormat="1" ht="18" x14ac:dyDescent="0.3">
      <c r="A1" s="4" t="s">
        <v>37</v>
      </c>
      <c r="B1" s="6" t="s">
        <v>39</v>
      </c>
      <c r="C1" s="6" t="s">
        <v>38</v>
      </c>
      <c r="D1" s="32" t="s">
        <v>68</v>
      </c>
      <c r="E1" s="33" t="s">
        <v>284</v>
      </c>
    </row>
    <row r="2" spans="1:5" ht="28.8" x14ac:dyDescent="0.3">
      <c r="A2" s="4" t="s">
        <v>502</v>
      </c>
      <c r="B2" s="6"/>
      <c r="C2" s="6" t="s">
        <v>512</v>
      </c>
      <c r="D2" s="32">
        <v>9824559999</v>
      </c>
      <c r="E2" s="33"/>
    </row>
    <row r="3" spans="1:5" ht="28.8" x14ac:dyDescent="0.3">
      <c r="A3" s="4" t="s">
        <v>99</v>
      </c>
      <c r="B3" s="6"/>
      <c r="C3" s="6" t="s">
        <v>135</v>
      </c>
      <c r="D3" s="32">
        <v>8140303377</v>
      </c>
      <c r="E3" s="33"/>
    </row>
    <row r="4" spans="1:5" ht="43.2" x14ac:dyDescent="0.3">
      <c r="A4" s="4" t="s">
        <v>556</v>
      </c>
      <c r="B4" s="6"/>
      <c r="C4" s="6" t="s">
        <v>557</v>
      </c>
      <c r="D4" s="32">
        <v>9974717237</v>
      </c>
      <c r="E4" s="33" t="s">
        <v>196</v>
      </c>
    </row>
    <row r="5" spans="1:5" ht="43.2" x14ac:dyDescent="0.3">
      <c r="A5" s="4" t="s">
        <v>536</v>
      </c>
      <c r="B5" s="6"/>
      <c r="C5" s="6" t="s">
        <v>587</v>
      </c>
      <c r="D5" s="32">
        <v>9925651925</v>
      </c>
      <c r="E5" s="33"/>
    </row>
    <row r="6" spans="1:5" ht="57.6" x14ac:dyDescent="0.3">
      <c r="A6" s="4" t="s">
        <v>405</v>
      </c>
      <c r="B6" s="6"/>
      <c r="C6" s="6" t="s">
        <v>446</v>
      </c>
      <c r="D6" s="32">
        <v>9824351508</v>
      </c>
      <c r="E6" s="33"/>
    </row>
    <row r="7" spans="1:5" ht="28.8" x14ac:dyDescent="0.3">
      <c r="A7" s="4" t="s">
        <v>194</v>
      </c>
      <c r="B7" s="6"/>
      <c r="C7" s="6" t="s">
        <v>195</v>
      </c>
      <c r="D7" s="32">
        <v>9638310999</v>
      </c>
      <c r="E7" s="33"/>
    </row>
    <row r="8" spans="1:5" ht="43.2" x14ac:dyDescent="0.3">
      <c r="A8" s="4" t="s">
        <v>588</v>
      </c>
      <c r="B8" s="6"/>
      <c r="C8" s="6" t="s">
        <v>589</v>
      </c>
      <c r="D8" s="32"/>
      <c r="E8" s="33"/>
    </row>
    <row r="9" spans="1:5" ht="43.2" x14ac:dyDescent="0.3">
      <c r="A9" s="4" t="s">
        <v>181</v>
      </c>
      <c r="B9" s="6" t="s">
        <v>181</v>
      </c>
      <c r="C9" s="6" t="s">
        <v>230</v>
      </c>
      <c r="D9" s="32">
        <v>9898775037</v>
      </c>
      <c r="E9" s="33"/>
    </row>
    <row r="10" spans="1:5" ht="28.8" x14ac:dyDescent="0.3">
      <c r="A10" s="4" t="s">
        <v>20</v>
      </c>
      <c r="B10" s="6"/>
      <c r="C10" s="6" t="s">
        <v>198</v>
      </c>
      <c r="D10" s="32">
        <v>9106563480</v>
      </c>
      <c r="E10" s="33"/>
    </row>
    <row r="11" spans="1:5" ht="28.8" x14ac:dyDescent="0.3">
      <c r="A11" s="4" t="s">
        <v>259</v>
      </c>
      <c r="B11" s="6" t="s">
        <v>314</v>
      </c>
      <c r="C11" s="6" t="s">
        <v>315</v>
      </c>
      <c r="D11" s="32">
        <v>9586762457</v>
      </c>
      <c r="E11" s="33"/>
    </row>
    <row r="12" spans="1:5" ht="28.8" x14ac:dyDescent="0.3">
      <c r="A12" s="4" t="s">
        <v>504</v>
      </c>
      <c r="B12" s="6"/>
      <c r="C12" s="6" t="s">
        <v>511</v>
      </c>
      <c r="D12" s="32">
        <v>9624431801</v>
      </c>
      <c r="E12" s="33"/>
    </row>
    <row r="13" spans="1:5" ht="43.2" x14ac:dyDescent="0.3">
      <c r="A13" s="4" t="s">
        <v>117</v>
      </c>
      <c r="B13" s="6" t="s">
        <v>118</v>
      </c>
      <c r="C13" s="6" t="s">
        <v>295</v>
      </c>
      <c r="D13" s="32"/>
      <c r="E13" s="33"/>
    </row>
    <row r="14" spans="1:5" ht="43.2" x14ac:dyDescent="0.3">
      <c r="A14" s="4" t="s">
        <v>140</v>
      </c>
      <c r="B14" s="6" t="s">
        <v>141</v>
      </c>
      <c r="C14" s="6" t="s">
        <v>296</v>
      </c>
      <c r="D14" s="32">
        <v>9925448406</v>
      </c>
      <c r="E14" s="33"/>
    </row>
    <row r="15" spans="1:5" ht="43.2" x14ac:dyDescent="0.3">
      <c r="A15" s="4" t="s">
        <v>539</v>
      </c>
      <c r="B15" s="6"/>
      <c r="C15" s="6" t="s">
        <v>574</v>
      </c>
      <c r="D15" s="32">
        <v>9426246273</v>
      </c>
      <c r="E15" s="33"/>
    </row>
    <row r="16" spans="1:5" ht="43.2" x14ac:dyDescent="0.3">
      <c r="A16" s="4" t="s">
        <v>78</v>
      </c>
      <c r="B16" s="6"/>
      <c r="C16" s="6" t="s">
        <v>79</v>
      </c>
      <c r="D16" s="32">
        <v>9428003774</v>
      </c>
      <c r="E16" s="33"/>
    </row>
    <row r="17" spans="1:5" ht="28.8" x14ac:dyDescent="0.3">
      <c r="A17" s="4" t="s">
        <v>222</v>
      </c>
      <c r="B17" s="6"/>
      <c r="C17" s="6" t="s">
        <v>221</v>
      </c>
      <c r="D17" s="32">
        <v>9824837530</v>
      </c>
      <c r="E17" s="33"/>
    </row>
    <row r="18" spans="1:5" ht="43.2" x14ac:dyDescent="0.3">
      <c r="A18" s="4" t="s">
        <v>21</v>
      </c>
      <c r="B18" s="6" t="s">
        <v>73</v>
      </c>
      <c r="C18" s="6" t="s">
        <v>74</v>
      </c>
      <c r="D18" s="32">
        <v>9825315316</v>
      </c>
      <c r="E18" s="33"/>
    </row>
    <row r="19" spans="1:5" ht="43.2" x14ac:dyDescent="0.3">
      <c r="A19" s="4" t="s">
        <v>9</v>
      </c>
      <c r="B19" s="6" t="s">
        <v>67</v>
      </c>
      <c r="C19" s="6" t="s">
        <v>199</v>
      </c>
      <c r="D19" s="32">
        <v>9925448120</v>
      </c>
      <c r="E19" s="33"/>
    </row>
    <row r="20" spans="1:5" ht="28.8" x14ac:dyDescent="0.3">
      <c r="A20" s="4" t="s">
        <v>378</v>
      </c>
      <c r="B20" s="6" t="s">
        <v>420</v>
      </c>
      <c r="C20" s="6" t="s">
        <v>421</v>
      </c>
      <c r="D20" s="32">
        <v>9978990613</v>
      </c>
      <c r="E20" s="33"/>
    </row>
    <row r="21" spans="1:5" ht="43.2" x14ac:dyDescent="0.3">
      <c r="A21" s="4" t="s">
        <v>148</v>
      </c>
      <c r="B21" s="6"/>
      <c r="C21" s="6" t="s">
        <v>423</v>
      </c>
      <c r="D21" s="32">
        <v>8980580857</v>
      </c>
      <c r="E21" s="33"/>
    </row>
    <row r="22" spans="1:5" ht="28.8" x14ac:dyDescent="0.3">
      <c r="A22" s="4" t="s">
        <v>506</v>
      </c>
      <c r="B22" s="6"/>
      <c r="C22" s="6" t="s">
        <v>516</v>
      </c>
      <c r="D22" s="32">
        <v>8000123928</v>
      </c>
      <c r="E22" s="33"/>
    </row>
    <row r="23" spans="1:5" ht="57.6" x14ac:dyDescent="0.3">
      <c r="A23" s="4" t="s">
        <v>260</v>
      </c>
      <c r="B23" s="6" t="s">
        <v>288</v>
      </c>
      <c r="C23" s="6" t="s">
        <v>287</v>
      </c>
      <c r="D23" s="32">
        <v>9824251035</v>
      </c>
      <c r="E23" s="33"/>
    </row>
    <row r="24" spans="1:5" ht="43.2" x14ac:dyDescent="0.3">
      <c r="A24" s="4" t="s">
        <v>14</v>
      </c>
      <c r="B24" s="6"/>
      <c r="C24" s="6" t="s">
        <v>200</v>
      </c>
      <c r="D24" s="32">
        <v>9824438828</v>
      </c>
      <c r="E24" s="33"/>
    </row>
    <row r="25" spans="1:5" ht="28.8" x14ac:dyDescent="0.3">
      <c r="A25" s="4" t="s">
        <v>183</v>
      </c>
      <c r="B25" s="6" t="s">
        <v>70</v>
      </c>
      <c r="C25" s="6" t="s">
        <v>201</v>
      </c>
      <c r="D25" s="32">
        <v>8780286268</v>
      </c>
      <c r="E25" s="33"/>
    </row>
    <row r="26" spans="1:5" ht="28.8" x14ac:dyDescent="0.3">
      <c r="A26" s="4" t="s">
        <v>496</v>
      </c>
      <c r="B26" s="6"/>
      <c r="C26" s="6" t="s">
        <v>510</v>
      </c>
      <c r="D26" s="32">
        <v>9428454545</v>
      </c>
      <c r="E26" s="33"/>
    </row>
    <row r="27" spans="1:5" ht="28.8" x14ac:dyDescent="0.3">
      <c r="A27" s="4" t="s">
        <v>505</v>
      </c>
      <c r="B27" s="6"/>
      <c r="C27" s="6" t="s">
        <v>513</v>
      </c>
      <c r="D27" s="32">
        <v>9879945876</v>
      </c>
      <c r="E27" s="33"/>
    </row>
    <row r="28" spans="1:5" ht="57.6" x14ac:dyDescent="0.3">
      <c r="A28" s="4" t="s">
        <v>569</v>
      </c>
      <c r="B28" s="6"/>
      <c r="C28" s="6" t="s">
        <v>581</v>
      </c>
      <c r="D28" s="32">
        <v>9624775944</v>
      </c>
      <c r="E28" s="33"/>
    </row>
    <row r="29" spans="1:5" ht="43.2" x14ac:dyDescent="0.3">
      <c r="A29" s="4" t="s">
        <v>275</v>
      </c>
      <c r="B29" s="6" t="s">
        <v>317</v>
      </c>
      <c r="C29" s="6" t="s">
        <v>318</v>
      </c>
      <c r="D29" s="32">
        <v>7405745505</v>
      </c>
      <c r="E29" s="33"/>
    </row>
    <row r="30" spans="1:5" ht="43.2" x14ac:dyDescent="0.3">
      <c r="A30" s="4" t="s">
        <v>532</v>
      </c>
      <c r="B30" s="6"/>
      <c r="C30" s="6" t="s">
        <v>533</v>
      </c>
      <c r="D30" s="32">
        <v>9409511301</v>
      </c>
      <c r="E30" s="33"/>
    </row>
    <row r="31" spans="1:5" ht="43.2" x14ac:dyDescent="0.3">
      <c r="A31" s="4" t="s">
        <v>101</v>
      </c>
      <c r="B31" s="6" t="s">
        <v>102</v>
      </c>
      <c r="C31" s="6" t="s">
        <v>136</v>
      </c>
      <c r="D31" s="32"/>
      <c r="E31" s="33"/>
    </row>
    <row r="32" spans="1:5" ht="28.8" x14ac:dyDescent="0.3">
      <c r="A32" s="4" t="s">
        <v>269</v>
      </c>
      <c r="B32" s="6" t="s">
        <v>316</v>
      </c>
      <c r="C32" s="6" t="s">
        <v>493</v>
      </c>
      <c r="D32" s="32">
        <v>9408131313</v>
      </c>
      <c r="E32" s="33" t="s">
        <v>196</v>
      </c>
    </row>
    <row r="33" spans="1:5" ht="28.8" x14ac:dyDescent="0.3">
      <c r="A33" s="4" t="s">
        <v>106</v>
      </c>
      <c r="B33" s="6" t="s">
        <v>107</v>
      </c>
      <c r="C33" s="6" t="s">
        <v>138</v>
      </c>
      <c r="D33" s="32"/>
      <c r="E33" s="33"/>
    </row>
    <row r="34" spans="1:5" ht="28.8" x14ac:dyDescent="0.3">
      <c r="A34" s="4" t="s">
        <v>257</v>
      </c>
      <c r="B34" s="6" t="s">
        <v>80</v>
      </c>
      <c r="C34" s="6" t="s">
        <v>341</v>
      </c>
      <c r="D34" s="32">
        <v>9998577523</v>
      </c>
      <c r="E34" s="33" t="s">
        <v>196</v>
      </c>
    </row>
    <row r="35" spans="1:5" ht="43.2" x14ac:dyDescent="0.3">
      <c r="A35" s="4" t="s">
        <v>278</v>
      </c>
      <c r="B35" s="6"/>
      <c r="C35" s="6" t="s">
        <v>282</v>
      </c>
      <c r="D35" s="32">
        <v>9737944545</v>
      </c>
      <c r="E35" s="33"/>
    </row>
    <row r="36" spans="1:5" ht="43.2" x14ac:dyDescent="0.3">
      <c r="A36" s="4" t="s">
        <v>537</v>
      </c>
      <c r="B36" s="6"/>
      <c r="C36" s="6" t="s">
        <v>543</v>
      </c>
      <c r="D36" s="32">
        <v>8780135063</v>
      </c>
      <c r="E36" s="33"/>
    </row>
    <row r="37" spans="1:5" ht="28.8" x14ac:dyDescent="0.3">
      <c r="A37" s="4" t="s">
        <v>262</v>
      </c>
      <c r="B37" s="6"/>
      <c r="C37" s="6" t="s">
        <v>342</v>
      </c>
      <c r="D37" s="32">
        <v>7698616111</v>
      </c>
      <c r="E37" s="33"/>
    </row>
    <row r="38" spans="1:5" ht="28.8" x14ac:dyDescent="0.3">
      <c r="A38" s="4" t="s">
        <v>91</v>
      </c>
      <c r="B38" s="6" t="s">
        <v>92</v>
      </c>
      <c r="C38" s="6" t="s">
        <v>297</v>
      </c>
      <c r="D38" s="32">
        <v>9426844701</v>
      </c>
      <c r="E38" s="33"/>
    </row>
    <row r="39" spans="1:5" ht="43.2" x14ac:dyDescent="0.3">
      <c r="A39" s="4" t="s">
        <v>381</v>
      </c>
      <c r="B39" s="6"/>
      <c r="C39" s="6" t="s">
        <v>424</v>
      </c>
      <c r="D39" s="32">
        <v>9898222122</v>
      </c>
      <c r="E39" s="33"/>
    </row>
    <row r="40" spans="1:5" ht="28.8" x14ac:dyDescent="0.3">
      <c r="A40" s="4" t="s">
        <v>66</v>
      </c>
      <c r="B40" s="6"/>
      <c r="C40" s="6" t="s">
        <v>130</v>
      </c>
      <c r="D40" s="32">
        <v>7573988808</v>
      </c>
      <c r="E40" s="33"/>
    </row>
    <row r="41" spans="1:5" ht="43.2" x14ac:dyDescent="0.3">
      <c r="A41" s="4" t="s">
        <v>271</v>
      </c>
      <c r="B41" s="6" t="s">
        <v>334</v>
      </c>
      <c r="C41" s="6" t="s">
        <v>371</v>
      </c>
      <c r="D41" s="32">
        <v>9979476626</v>
      </c>
      <c r="E41" s="33"/>
    </row>
    <row r="42" spans="1:5" ht="28.8" x14ac:dyDescent="0.3">
      <c r="A42" s="4" t="s">
        <v>272</v>
      </c>
      <c r="B42" s="6"/>
      <c r="C42" s="6" t="s">
        <v>338</v>
      </c>
      <c r="D42" s="32">
        <v>9510343132</v>
      </c>
      <c r="E42" s="33"/>
    </row>
    <row r="43" spans="1:5" ht="43.2" x14ac:dyDescent="0.3">
      <c r="A43" s="4" t="s">
        <v>63</v>
      </c>
      <c r="B43" s="6" t="s">
        <v>64</v>
      </c>
      <c r="C43" s="6" t="s">
        <v>298</v>
      </c>
      <c r="D43" s="32"/>
      <c r="E43" s="33"/>
    </row>
    <row r="44" spans="1:5" ht="28.8" x14ac:dyDescent="0.3">
      <c r="A44" s="4" t="s">
        <v>115</v>
      </c>
      <c r="B44" s="6" t="s">
        <v>116</v>
      </c>
      <c r="C44" s="6" t="s">
        <v>125</v>
      </c>
      <c r="D44" s="32"/>
      <c r="E44" s="33"/>
    </row>
    <row r="45" spans="1:5" ht="28.8" x14ac:dyDescent="0.3">
      <c r="A45" s="4" t="s">
        <v>465</v>
      </c>
      <c r="B45" s="6" t="s">
        <v>467</v>
      </c>
      <c r="C45" s="6" t="s">
        <v>466</v>
      </c>
      <c r="D45" s="32">
        <v>9824483166</v>
      </c>
      <c r="E45" s="33"/>
    </row>
    <row r="46" spans="1:5" ht="43.2" x14ac:dyDescent="0.3">
      <c r="A46" s="4" t="s">
        <v>266</v>
      </c>
      <c r="B46" s="6" t="s">
        <v>332</v>
      </c>
      <c r="C46" s="6" t="s">
        <v>331</v>
      </c>
      <c r="D46" s="32">
        <v>9574555050</v>
      </c>
      <c r="E46" s="33"/>
    </row>
    <row r="47" spans="1:5" ht="43.2" x14ac:dyDescent="0.3">
      <c r="A47" s="4" t="s">
        <v>497</v>
      </c>
      <c r="B47" s="6"/>
      <c r="C47" s="6" t="s">
        <v>509</v>
      </c>
      <c r="D47" s="32">
        <v>7600355044</v>
      </c>
      <c r="E47" s="33" t="s">
        <v>197</v>
      </c>
    </row>
    <row r="48" spans="1:5" ht="28.8" x14ac:dyDescent="0.3">
      <c r="A48" s="4" t="s">
        <v>176</v>
      </c>
      <c r="B48" s="6" t="s">
        <v>219</v>
      </c>
      <c r="C48" s="6" t="s">
        <v>220</v>
      </c>
      <c r="D48" s="32">
        <v>8320411442</v>
      </c>
      <c r="E48" s="33"/>
    </row>
    <row r="49" spans="1:5" ht="28.8" x14ac:dyDescent="0.3">
      <c r="A49" s="4" t="s">
        <v>89</v>
      </c>
      <c r="B49" s="6" t="s">
        <v>90</v>
      </c>
      <c r="C49" s="6" t="s">
        <v>132</v>
      </c>
      <c r="D49" s="32">
        <v>8140411024</v>
      </c>
      <c r="E49" s="33"/>
    </row>
    <row r="50" spans="1:5" ht="43.2" x14ac:dyDescent="0.3">
      <c r="A50" s="4" t="s">
        <v>267</v>
      </c>
      <c r="B50" s="6" t="s">
        <v>325</v>
      </c>
      <c r="C50" s="6" t="s">
        <v>326</v>
      </c>
      <c r="D50" s="32">
        <v>9624751929</v>
      </c>
      <c r="E50" s="33"/>
    </row>
    <row r="51" spans="1:5" ht="43.2" x14ac:dyDescent="0.3">
      <c r="A51" s="4" t="s">
        <v>382</v>
      </c>
      <c r="B51" s="6"/>
      <c r="C51" s="6" t="s">
        <v>522</v>
      </c>
      <c r="D51" s="32">
        <v>2782422236</v>
      </c>
      <c r="E51" s="33"/>
    </row>
    <row r="52" spans="1:5" ht="28.8" x14ac:dyDescent="0.3">
      <c r="A52" s="4" t="s">
        <v>471</v>
      </c>
      <c r="B52" s="6"/>
      <c r="C52" s="6" t="s">
        <v>486</v>
      </c>
      <c r="D52" s="32">
        <v>9537673951</v>
      </c>
      <c r="E52" s="33"/>
    </row>
    <row r="53" spans="1:5" ht="28.8" x14ac:dyDescent="0.3">
      <c r="A53" s="4" t="s">
        <v>268</v>
      </c>
      <c r="B53" s="6"/>
      <c r="C53" s="6" t="s">
        <v>286</v>
      </c>
      <c r="D53" s="32">
        <v>9016414291</v>
      </c>
      <c r="E53" s="33"/>
    </row>
    <row r="54" spans="1:5" ht="28.8" x14ac:dyDescent="0.3">
      <c r="A54" s="4" t="s">
        <v>572</v>
      </c>
      <c r="B54" s="6"/>
      <c r="C54" s="6" t="s">
        <v>584</v>
      </c>
      <c r="D54" s="32">
        <v>9924151508</v>
      </c>
      <c r="E54" s="33"/>
    </row>
    <row r="55" spans="1:5" ht="72" x14ac:dyDescent="0.3">
      <c r="A55" s="4" t="s">
        <v>86</v>
      </c>
      <c r="B55" s="6" t="s">
        <v>87</v>
      </c>
      <c r="C55" s="6" t="s">
        <v>290</v>
      </c>
      <c r="D55" s="32">
        <v>9016319324</v>
      </c>
      <c r="E55" s="33"/>
    </row>
    <row r="56" spans="1:5" ht="43.2" x14ac:dyDescent="0.3">
      <c r="A56" s="4" t="s">
        <v>491</v>
      </c>
      <c r="B56" s="6"/>
      <c r="C56" s="6" t="s">
        <v>492</v>
      </c>
      <c r="D56" s="32">
        <v>9904952806</v>
      </c>
      <c r="E56" s="33"/>
    </row>
    <row r="57" spans="1:5" ht="28.8" x14ac:dyDescent="0.3">
      <c r="A57" s="4" t="s">
        <v>276</v>
      </c>
      <c r="B57" s="6"/>
      <c r="C57" s="6" t="s">
        <v>337</v>
      </c>
      <c r="D57" s="32">
        <v>9537101694</v>
      </c>
      <c r="E57" s="33"/>
    </row>
    <row r="58" spans="1:5" ht="28.8" x14ac:dyDescent="0.3">
      <c r="A58" s="4" t="s">
        <v>113</v>
      </c>
      <c r="B58" s="6"/>
      <c r="C58" s="6" t="s">
        <v>127</v>
      </c>
      <c r="D58" s="32"/>
      <c r="E58" s="33"/>
    </row>
    <row r="59" spans="1:5" ht="43.2" x14ac:dyDescent="0.3">
      <c r="A59" s="4" t="s">
        <v>545</v>
      </c>
      <c r="B59" s="6" t="s">
        <v>88</v>
      </c>
      <c r="C59" s="6" t="s">
        <v>294</v>
      </c>
      <c r="D59" s="32">
        <v>9925209999</v>
      </c>
      <c r="E59" s="33" t="s">
        <v>196</v>
      </c>
    </row>
    <row r="60" spans="1:5" ht="43.2" x14ac:dyDescent="0.3">
      <c r="A60" s="4" t="s">
        <v>270</v>
      </c>
      <c r="B60" s="4" t="s">
        <v>270</v>
      </c>
      <c r="C60" s="6" t="s">
        <v>313</v>
      </c>
      <c r="D60" s="32">
        <v>8905890589</v>
      </c>
      <c r="E60" s="33"/>
    </row>
    <row r="61" spans="1:5" ht="43.2" x14ac:dyDescent="0.3">
      <c r="A61" s="4" t="s">
        <v>24</v>
      </c>
      <c r="B61" s="6" t="s">
        <v>88</v>
      </c>
      <c r="C61" s="6" t="s">
        <v>294</v>
      </c>
      <c r="D61" s="32">
        <v>9925209999</v>
      </c>
      <c r="E61" s="33" t="s">
        <v>196</v>
      </c>
    </row>
    <row r="62" spans="1:5" ht="28.8" x14ac:dyDescent="0.3">
      <c r="A62" s="4" t="s">
        <v>71</v>
      </c>
      <c r="B62" s="6" t="s">
        <v>72</v>
      </c>
      <c r="C62" s="6" t="s">
        <v>437</v>
      </c>
      <c r="D62" s="32">
        <v>9537167600</v>
      </c>
      <c r="E62" s="33"/>
    </row>
    <row r="63" spans="1:5" ht="28.8" x14ac:dyDescent="0.3">
      <c r="A63" s="4" t="s">
        <v>108</v>
      </c>
      <c r="B63" s="6" t="s">
        <v>108</v>
      </c>
      <c r="C63" s="6" t="s">
        <v>299</v>
      </c>
      <c r="D63" s="32"/>
      <c r="E63" s="33" t="s">
        <v>197</v>
      </c>
    </row>
    <row r="64" spans="1:5" ht="28.8" x14ac:dyDescent="0.3">
      <c r="A64" s="4" t="s">
        <v>541</v>
      </c>
      <c r="B64" s="6"/>
      <c r="C64" s="6" t="s">
        <v>576</v>
      </c>
      <c r="D64" s="32">
        <v>8000686824</v>
      </c>
      <c r="E64" s="33"/>
    </row>
    <row r="65" spans="1:5" x14ac:dyDescent="0.3">
      <c r="A65" s="4" t="s">
        <v>568</v>
      </c>
      <c r="B65" s="6"/>
      <c r="C65" s="6" t="s">
        <v>580</v>
      </c>
      <c r="D65" s="32">
        <v>9328171716</v>
      </c>
      <c r="E65" s="33"/>
    </row>
    <row r="66" spans="1:5" ht="43.2" x14ac:dyDescent="0.3">
      <c r="A66" s="4" t="s">
        <v>110</v>
      </c>
      <c r="B66" s="6"/>
      <c r="C66" s="6" t="s">
        <v>139</v>
      </c>
      <c r="D66" s="32"/>
      <c r="E66" s="33"/>
    </row>
    <row r="67" spans="1:5" ht="28.8" x14ac:dyDescent="0.3">
      <c r="A67" s="4" t="s">
        <v>83</v>
      </c>
      <c r="B67" s="6"/>
      <c r="C67" s="6" t="s">
        <v>202</v>
      </c>
      <c r="D67" s="32">
        <v>9825038509</v>
      </c>
      <c r="E67" s="33"/>
    </row>
    <row r="68" spans="1:5" ht="28.8" x14ac:dyDescent="0.3">
      <c r="A68" s="4" t="s">
        <v>254</v>
      </c>
      <c r="B68" s="6"/>
      <c r="C68" s="6" t="s">
        <v>385</v>
      </c>
      <c r="D68" s="32">
        <v>9979347794</v>
      </c>
      <c r="E68" s="33"/>
    </row>
    <row r="69" spans="1:5" ht="28.8" x14ac:dyDescent="0.3">
      <c r="A69" s="4" t="s">
        <v>552</v>
      </c>
      <c r="B69" s="6"/>
      <c r="C69" s="6" t="s">
        <v>577</v>
      </c>
      <c r="D69" s="32">
        <v>9426422306</v>
      </c>
      <c r="E69" s="33"/>
    </row>
    <row r="70" spans="1:5" ht="43.2" x14ac:dyDescent="0.3">
      <c r="A70" s="4" t="s">
        <v>468</v>
      </c>
      <c r="B70" s="6"/>
      <c r="C70" s="6" t="s">
        <v>481</v>
      </c>
      <c r="D70" s="32">
        <v>9429640652</v>
      </c>
      <c r="E70" s="33"/>
    </row>
    <row r="71" spans="1:5" ht="28.8" x14ac:dyDescent="0.3">
      <c r="A71" s="4" t="s">
        <v>182</v>
      </c>
      <c r="B71" s="6"/>
      <c r="C71" s="6" t="s">
        <v>223</v>
      </c>
      <c r="D71" s="32">
        <v>9099381567</v>
      </c>
      <c r="E71" s="33"/>
    </row>
    <row r="72" spans="1:5" ht="43.2" x14ac:dyDescent="0.3">
      <c r="A72" s="4" t="s">
        <v>273</v>
      </c>
      <c r="B72" s="6" t="s">
        <v>320</v>
      </c>
      <c r="C72" s="6" t="s">
        <v>319</v>
      </c>
      <c r="D72" s="32">
        <v>7069196333</v>
      </c>
      <c r="E72" s="33"/>
    </row>
    <row r="73" spans="1:5" ht="43.2" x14ac:dyDescent="0.3">
      <c r="A73" s="4" t="s">
        <v>84</v>
      </c>
      <c r="B73" s="6" t="s">
        <v>84</v>
      </c>
      <c r="C73" s="6" t="s">
        <v>300</v>
      </c>
      <c r="D73" s="32"/>
      <c r="E73" s="33"/>
    </row>
    <row r="74" spans="1:5" ht="43.2" x14ac:dyDescent="0.3">
      <c r="A74" s="4" t="s">
        <v>503</v>
      </c>
      <c r="B74" s="6"/>
      <c r="C74" s="6" t="s">
        <v>517</v>
      </c>
      <c r="D74" s="32">
        <v>9879668243</v>
      </c>
      <c r="E74" s="33"/>
    </row>
    <row r="75" spans="1:5" x14ac:dyDescent="0.3">
      <c r="A75" s="4" t="s">
        <v>13</v>
      </c>
      <c r="B75" s="6"/>
      <c r="C75" s="6"/>
      <c r="D75" s="32"/>
      <c r="E75" s="33"/>
    </row>
    <row r="76" spans="1:5" ht="43.2" x14ac:dyDescent="0.3">
      <c r="A76" s="4" t="s">
        <v>360</v>
      </c>
      <c r="B76" s="6" t="s">
        <v>361</v>
      </c>
      <c r="C76" s="6" t="s">
        <v>362</v>
      </c>
      <c r="D76" s="32">
        <v>9712641067</v>
      </c>
      <c r="E76" s="33"/>
    </row>
    <row r="77" spans="1:5" ht="28.8" x14ac:dyDescent="0.3">
      <c r="A77" s="4" t="s">
        <v>500</v>
      </c>
      <c r="B77" s="6"/>
      <c r="C77" s="6" t="s">
        <v>514</v>
      </c>
      <c r="D77" s="32">
        <v>9099444525</v>
      </c>
      <c r="E77" s="33"/>
    </row>
    <row r="78" spans="1:5" ht="28.8" x14ac:dyDescent="0.3">
      <c r="A78" s="4" t="s">
        <v>80</v>
      </c>
      <c r="B78" s="6"/>
      <c r="C78" s="6" t="s">
        <v>203</v>
      </c>
      <c r="D78" s="32">
        <v>9998577523</v>
      </c>
      <c r="E78" s="33"/>
    </row>
    <row r="79" spans="1:5" ht="43.2" x14ac:dyDescent="0.3">
      <c r="A79" s="4" t="s">
        <v>8</v>
      </c>
      <c r="B79" s="6" t="s">
        <v>40</v>
      </c>
      <c r="C79" s="6" t="s">
        <v>129</v>
      </c>
      <c r="D79" s="32">
        <v>9427511001</v>
      </c>
      <c r="E79" s="33"/>
    </row>
    <row r="80" spans="1:5" ht="43.2" x14ac:dyDescent="0.3">
      <c r="A80" s="4" t="s">
        <v>274</v>
      </c>
      <c r="B80" s="6"/>
      <c r="C80" s="6" t="s">
        <v>335</v>
      </c>
      <c r="D80" s="32">
        <v>9427233858</v>
      </c>
      <c r="E80" s="33"/>
    </row>
    <row r="81" spans="1:5" ht="43.2" x14ac:dyDescent="0.3">
      <c r="A81" s="4" t="s">
        <v>498</v>
      </c>
      <c r="B81" s="6"/>
      <c r="C81" s="6" t="s">
        <v>335</v>
      </c>
      <c r="D81" s="32">
        <v>9427233858</v>
      </c>
      <c r="E81" s="33"/>
    </row>
    <row r="82" spans="1:5" ht="43.2" x14ac:dyDescent="0.3">
      <c r="A82" s="4" t="s">
        <v>264</v>
      </c>
      <c r="B82" s="4" t="s">
        <v>324</v>
      </c>
      <c r="C82" s="6" t="s">
        <v>323</v>
      </c>
      <c r="D82" s="32">
        <v>7990934709</v>
      </c>
      <c r="E82" s="33"/>
    </row>
    <row r="83" spans="1:5" ht="28.8" x14ac:dyDescent="0.3">
      <c r="A83" s="4" t="s">
        <v>470</v>
      </c>
      <c r="B83" s="6"/>
      <c r="C83" s="6" t="s">
        <v>484</v>
      </c>
      <c r="D83" s="32">
        <v>7990014980</v>
      </c>
      <c r="E83" s="33"/>
    </row>
    <row r="84" spans="1:5" ht="43.2" x14ac:dyDescent="0.3">
      <c r="A84" s="4" t="s">
        <v>76</v>
      </c>
      <c r="B84" s="6" t="s">
        <v>77</v>
      </c>
      <c r="C84" s="6" t="s">
        <v>464</v>
      </c>
      <c r="D84" s="32">
        <v>9428857071</v>
      </c>
      <c r="E84" s="33"/>
    </row>
    <row r="85" spans="1:5" ht="43.2" x14ac:dyDescent="0.3">
      <c r="A85" s="4" t="s">
        <v>19</v>
      </c>
      <c r="B85" s="6"/>
      <c r="C85" s="6" t="s">
        <v>301</v>
      </c>
      <c r="D85" s="32">
        <v>7984290006</v>
      </c>
      <c r="E85" s="33"/>
    </row>
    <row r="86" spans="1:5" ht="43.2" x14ac:dyDescent="0.3">
      <c r="A86" s="4" t="s">
        <v>23</v>
      </c>
      <c r="B86" s="6"/>
      <c r="C86" s="6" t="s">
        <v>69</v>
      </c>
      <c r="D86" s="32">
        <v>9825220799</v>
      </c>
      <c r="E86" s="33" t="s">
        <v>197</v>
      </c>
    </row>
    <row r="87" spans="1:5" ht="28.8" x14ac:dyDescent="0.3">
      <c r="A87" s="4" t="s">
        <v>111</v>
      </c>
      <c r="B87" s="6" t="s">
        <v>479</v>
      </c>
      <c r="C87" s="6" t="s">
        <v>480</v>
      </c>
      <c r="D87" s="32">
        <v>7878212124</v>
      </c>
      <c r="E87" s="33" t="s">
        <v>196</v>
      </c>
    </row>
    <row r="88" spans="1:5" ht="28.8" x14ac:dyDescent="0.3">
      <c r="A88" s="4" t="s">
        <v>111</v>
      </c>
      <c r="B88" s="6"/>
      <c r="C88" s="6" t="s">
        <v>302</v>
      </c>
      <c r="D88" s="32"/>
      <c r="E88" s="33" t="s">
        <v>196</v>
      </c>
    </row>
    <row r="89" spans="1:5" ht="43.2" x14ac:dyDescent="0.3">
      <c r="A89" s="4" t="s">
        <v>380</v>
      </c>
      <c r="B89" s="6"/>
      <c r="C89" s="6" t="s">
        <v>413</v>
      </c>
      <c r="D89" s="32">
        <v>7984929295</v>
      </c>
      <c r="E89" s="33" t="s">
        <v>196</v>
      </c>
    </row>
    <row r="90" spans="1:5" ht="28.8" x14ac:dyDescent="0.3">
      <c r="A90" s="4" t="s">
        <v>377</v>
      </c>
      <c r="B90" s="6"/>
      <c r="C90" s="6" t="s">
        <v>415</v>
      </c>
      <c r="D90" s="32">
        <v>9825149802</v>
      </c>
      <c r="E90" s="33" t="s">
        <v>196</v>
      </c>
    </row>
    <row r="91" spans="1:5" ht="28.8" x14ac:dyDescent="0.3">
      <c r="A91" s="4" t="s">
        <v>540</v>
      </c>
      <c r="B91" s="6"/>
      <c r="C91" s="6" t="s">
        <v>575</v>
      </c>
      <c r="D91" s="32">
        <v>7046360922</v>
      </c>
      <c r="E91" s="33" t="s">
        <v>196</v>
      </c>
    </row>
    <row r="92" spans="1:5" ht="28.8" x14ac:dyDescent="0.3">
      <c r="A92" s="4" t="s">
        <v>265</v>
      </c>
      <c r="B92" s="6" t="s">
        <v>359</v>
      </c>
      <c r="C92" s="6" t="s">
        <v>422</v>
      </c>
      <c r="D92" s="32">
        <v>9727220227</v>
      </c>
      <c r="E92" s="33" t="s">
        <v>196</v>
      </c>
    </row>
    <row r="93" spans="1:5" ht="28.8" x14ac:dyDescent="0.3">
      <c r="A93" s="4" t="s">
        <v>373</v>
      </c>
      <c r="B93" s="6"/>
      <c r="C93" s="6" t="s">
        <v>416</v>
      </c>
      <c r="D93" s="32"/>
      <c r="E93" s="33" t="s">
        <v>196</v>
      </c>
    </row>
    <row r="94" spans="1:5" ht="28.8" x14ac:dyDescent="0.3">
      <c r="A94" s="4" t="s">
        <v>472</v>
      </c>
      <c r="B94" s="6"/>
      <c r="C94" s="6" t="s">
        <v>485</v>
      </c>
      <c r="D94" s="32">
        <v>9106055314</v>
      </c>
      <c r="E94" s="33" t="s">
        <v>196</v>
      </c>
    </row>
    <row r="95" spans="1:5" ht="43.2" x14ac:dyDescent="0.3">
      <c r="A95" s="4" t="s">
        <v>261</v>
      </c>
      <c r="B95" s="6" t="s">
        <v>340</v>
      </c>
      <c r="C95" s="6" t="s">
        <v>339</v>
      </c>
      <c r="D95" s="32">
        <v>9909950650</v>
      </c>
      <c r="E95" s="33" t="s">
        <v>283</v>
      </c>
    </row>
    <row r="96" spans="1:5" ht="28.8" x14ac:dyDescent="0.3">
      <c r="A96" s="4" t="s">
        <v>114</v>
      </c>
      <c r="B96" s="6"/>
      <c r="C96" s="6" t="s">
        <v>126</v>
      </c>
      <c r="D96" s="32"/>
      <c r="E96" s="33" t="s">
        <v>197</v>
      </c>
    </row>
    <row r="97" spans="1:5" ht="28.8" x14ac:dyDescent="0.3">
      <c r="A97" s="4" t="s">
        <v>95</v>
      </c>
      <c r="B97" s="6" t="s">
        <v>109</v>
      </c>
      <c r="C97" s="6" t="s">
        <v>134</v>
      </c>
      <c r="D97" s="32">
        <v>9510897273</v>
      </c>
      <c r="E97" s="33" t="s">
        <v>196</v>
      </c>
    </row>
    <row r="98" spans="1:5" ht="28.8" x14ac:dyDescent="0.3">
      <c r="A98" s="4" t="s">
        <v>495</v>
      </c>
      <c r="B98" s="6"/>
      <c r="C98" s="6" t="s">
        <v>508</v>
      </c>
      <c r="D98" s="32">
        <v>8999898996</v>
      </c>
      <c r="E98" s="33" t="s">
        <v>196</v>
      </c>
    </row>
    <row r="99" spans="1:5" ht="43.2" x14ac:dyDescent="0.3">
      <c r="A99" s="4" t="s">
        <v>81</v>
      </c>
      <c r="B99" s="6"/>
      <c r="C99" s="6" t="s">
        <v>82</v>
      </c>
      <c r="D99" s="32"/>
      <c r="E99" s="33"/>
    </row>
    <row r="100" spans="1:5" ht="28.8" x14ac:dyDescent="0.3">
      <c r="A100" s="4" t="s">
        <v>146</v>
      </c>
      <c r="B100" s="6"/>
      <c r="C100" s="6" t="s">
        <v>213</v>
      </c>
      <c r="D100" s="32">
        <v>7600749191</v>
      </c>
      <c r="E100" s="33"/>
    </row>
    <row r="101" spans="1:5" ht="28.8" x14ac:dyDescent="0.3">
      <c r="A101" s="4" t="s">
        <v>180</v>
      </c>
      <c r="B101" s="6" t="s">
        <v>180</v>
      </c>
      <c r="C101" s="6" t="s">
        <v>229</v>
      </c>
      <c r="D101" s="32">
        <v>8866209297</v>
      </c>
      <c r="E101" s="33"/>
    </row>
    <row r="102" spans="1:5" ht="43.2" x14ac:dyDescent="0.3">
      <c r="A102" s="4" t="s">
        <v>120</v>
      </c>
      <c r="B102" s="6" t="s">
        <v>121</v>
      </c>
      <c r="C102" s="6" t="s">
        <v>124</v>
      </c>
      <c r="D102" s="32"/>
      <c r="E102" s="33"/>
    </row>
    <row r="103" spans="1:5" ht="43.2" x14ac:dyDescent="0.3">
      <c r="A103" s="4" t="s">
        <v>499</v>
      </c>
      <c r="B103" s="6"/>
      <c r="C103" s="6" t="s">
        <v>515</v>
      </c>
      <c r="D103" s="32">
        <v>9870021313</v>
      </c>
      <c r="E103" s="33"/>
    </row>
    <row r="104" spans="1:5" ht="43.2" x14ac:dyDescent="0.3">
      <c r="A104" s="4" t="s">
        <v>388</v>
      </c>
      <c r="B104" s="6"/>
      <c r="C104" s="6" t="s">
        <v>336</v>
      </c>
      <c r="D104" s="32"/>
      <c r="E104" s="33"/>
    </row>
    <row r="105" spans="1:5" ht="43.2" x14ac:dyDescent="0.3">
      <c r="A105" s="4" t="s">
        <v>571</v>
      </c>
      <c r="B105" s="6"/>
      <c r="C105" s="6" t="s">
        <v>583</v>
      </c>
      <c r="D105" s="32">
        <v>9998051949</v>
      </c>
      <c r="E105" s="33"/>
    </row>
    <row r="106" spans="1:5" ht="43.2" x14ac:dyDescent="0.3">
      <c r="A106" s="4" t="s">
        <v>122</v>
      </c>
      <c r="B106" s="6" t="s">
        <v>142</v>
      </c>
      <c r="C106" s="6" t="s">
        <v>123</v>
      </c>
      <c r="D106" s="32"/>
      <c r="E106" s="33"/>
    </row>
    <row r="107" spans="1:5" ht="43.2" x14ac:dyDescent="0.3">
      <c r="A107" s="4" t="s">
        <v>96</v>
      </c>
      <c r="B107" s="6" t="s">
        <v>97</v>
      </c>
      <c r="C107" s="6" t="s">
        <v>303</v>
      </c>
      <c r="D107" s="32"/>
      <c r="E107" s="33" t="s">
        <v>196</v>
      </c>
    </row>
    <row r="108" spans="1:5" ht="28.8" x14ac:dyDescent="0.3">
      <c r="A108" s="4" t="s">
        <v>112</v>
      </c>
      <c r="B108" s="6"/>
      <c r="C108" s="6" t="s">
        <v>128</v>
      </c>
      <c r="D108" s="32"/>
      <c r="E108" s="33" t="s">
        <v>196</v>
      </c>
    </row>
    <row r="109" spans="1:5" ht="28.8" x14ac:dyDescent="0.3">
      <c r="A109" s="4" t="s">
        <v>178</v>
      </c>
      <c r="B109" s="6" t="s">
        <v>226</v>
      </c>
      <c r="C109" s="6" t="s">
        <v>225</v>
      </c>
      <c r="D109" s="32">
        <v>9828109453</v>
      </c>
      <c r="E109" s="33" t="s">
        <v>197</v>
      </c>
    </row>
    <row r="110" spans="1:5" ht="43.2" x14ac:dyDescent="0.3">
      <c r="A110" s="4" t="s">
        <v>12</v>
      </c>
      <c r="B110" s="6"/>
      <c r="C110" s="6" t="s">
        <v>204</v>
      </c>
      <c r="D110" s="32">
        <v>9925888787</v>
      </c>
      <c r="E110" s="33" t="s">
        <v>196</v>
      </c>
    </row>
    <row r="111" spans="1:5" ht="28.8" x14ac:dyDescent="0.3">
      <c r="A111" s="4" t="s">
        <v>548</v>
      </c>
      <c r="B111" s="6"/>
      <c r="C111" s="6" t="s">
        <v>549</v>
      </c>
      <c r="D111" s="32">
        <v>8140888999</v>
      </c>
      <c r="E111" s="33" t="s">
        <v>196</v>
      </c>
    </row>
    <row r="112" spans="1:5" ht="28.8" x14ac:dyDescent="0.3">
      <c r="A112" s="4" t="s">
        <v>375</v>
      </c>
      <c r="B112" s="6" t="s">
        <v>418</v>
      </c>
      <c r="C112" s="6" t="s">
        <v>419</v>
      </c>
      <c r="D112" s="32">
        <v>7405505555</v>
      </c>
      <c r="E112" s="33" t="s">
        <v>196</v>
      </c>
    </row>
    <row r="113" spans="1:5" ht="28.8" x14ac:dyDescent="0.3">
      <c r="A113" s="4" t="s">
        <v>379</v>
      </c>
      <c r="B113" s="6" t="s">
        <v>414</v>
      </c>
      <c r="C113" s="6" t="s">
        <v>442</v>
      </c>
      <c r="D113" s="32">
        <v>9426959999</v>
      </c>
      <c r="E113" s="33" t="s">
        <v>196</v>
      </c>
    </row>
    <row r="114" spans="1:5" ht="28.8" x14ac:dyDescent="0.3">
      <c r="A114" s="4" t="s">
        <v>469</v>
      </c>
      <c r="B114" s="6" t="s">
        <v>482</v>
      </c>
      <c r="C114" s="6" t="s">
        <v>483</v>
      </c>
      <c r="D114" s="32">
        <v>9773408044</v>
      </c>
      <c r="E114" s="33" t="s">
        <v>196</v>
      </c>
    </row>
    <row r="115" spans="1:5" ht="57.6" x14ac:dyDescent="0.3">
      <c r="A115" s="4" t="s">
        <v>524</v>
      </c>
      <c r="B115" s="6"/>
      <c r="C115" s="6" t="s">
        <v>525</v>
      </c>
      <c r="D115" s="32">
        <v>9825133885</v>
      </c>
      <c r="E115" s="33"/>
    </row>
    <row r="116" spans="1:5" ht="28.8" x14ac:dyDescent="0.3">
      <c r="A116" s="4" t="s">
        <v>372</v>
      </c>
      <c r="B116" s="6"/>
      <c r="C116" s="6" t="s">
        <v>417</v>
      </c>
      <c r="D116" s="32">
        <v>9825325757</v>
      </c>
      <c r="E116" s="33"/>
    </row>
    <row r="117" spans="1:5" ht="43.2" x14ac:dyDescent="0.3">
      <c r="A117" s="4" t="s">
        <v>406</v>
      </c>
      <c r="B117" s="6"/>
      <c r="C117" s="6" t="s">
        <v>435</v>
      </c>
      <c r="D117" s="32">
        <v>9924545558</v>
      </c>
      <c r="E117" s="33"/>
    </row>
    <row r="118" spans="1:5" ht="43.2" x14ac:dyDescent="0.3">
      <c r="A118" s="4" t="s">
        <v>85</v>
      </c>
      <c r="B118" s="6"/>
      <c r="C118" s="6" t="s">
        <v>131</v>
      </c>
      <c r="D118" s="32">
        <v>9722223237</v>
      </c>
      <c r="E118" s="33"/>
    </row>
    <row r="119" spans="1:5" ht="43.2" x14ac:dyDescent="0.3">
      <c r="A119" s="4" t="s">
        <v>407</v>
      </c>
      <c r="B119" s="6"/>
      <c r="C119" s="6" t="s">
        <v>452</v>
      </c>
      <c r="D119" s="32">
        <v>9913252525</v>
      </c>
      <c r="E119" s="33" t="s">
        <v>196</v>
      </c>
    </row>
    <row r="120" spans="1:5" ht="28.8" x14ac:dyDescent="0.3">
      <c r="A120" s="4" t="s">
        <v>256</v>
      </c>
      <c r="B120" s="6" t="s">
        <v>328</v>
      </c>
      <c r="C120" s="6" t="s">
        <v>327</v>
      </c>
      <c r="D120" s="32">
        <v>9825445121</v>
      </c>
      <c r="E120" s="33"/>
    </row>
    <row r="121" spans="1:5" ht="57.6" x14ac:dyDescent="0.3">
      <c r="A121" s="4" t="s">
        <v>93</v>
      </c>
      <c r="B121" s="6"/>
      <c r="C121" s="6" t="s">
        <v>205</v>
      </c>
      <c r="D121" s="32">
        <v>9712887296</v>
      </c>
      <c r="E121" s="33"/>
    </row>
    <row r="122" spans="1:5" ht="43.2" x14ac:dyDescent="0.3">
      <c r="A122" s="4" t="s">
        <v>17</v>
      </c>
      <c r="B122" s="6"/>
      <c r="C122" s="6" t="s">
        <v>206</v>
      </c>
      <c r="D122" s="32">
        <v>9426450843</v>
      </c>
      <c r="E122" s="33"/>
    </row>
    <row r="123" spans="1:5" ht="43.2" x14ac:dyDescent="0.3">
      <c r="A123" s="4" t="s">
        <v>501</v>
      </c>
      <c r="B123" s="6"/>
      <c r="C123" s="6" t="s">
        <v>507</v>
      </c>
      <c r="D123" s="32">
        <v>7069881399</v>
      </c>
      <c r="E123" s="33"/>
    </row>
    <row r="124" spans="1:5" ht="28.8" x14ac:dyDescent="0.3">
      <c r="A124" s="4" t="s">
        <v>104</v>
      </c>
      <c r="B124" s="6" t="s">
        <v>105</v>
      </c>
      <c r="C124" s="6" t="s">
        <v>137</v>
      </c>
      <c r="D124" s="32">
        <v>9328564566</v>
      </c>
      <c r="E124" s="33" t="s">
        <v>333</v>
      </c>
    </row>
    <row r="125" spans="1:5" ht="43.2" x14ac:dyDescent="0.3">
      <c r="A125" s="4" t="s">
        <v>4</v>
      </c>
      <c r="B125" s="6" t="s">
        <v>65</v>
      </c>
      <c r="C125" s="6" t="s">
        <v>207</v>
      </c>
      <c r="D125" s="32">
        <v>9377666263</v>
      </c>
      <c r="E125" s="33" t="s">
        <v>197</v>
      </c>
    </row>
    <row r="126" spans="1:5" ht="57.6" x14ac:dyDescent="0.3">
      <c r="A126" s="4" t="s">
        <v>538</v>
      </c>
      <c r="B126" s="6"/>
      <c r="C126" s="6" t="s">
        <v>542</v>
      </c>
      <c r="D126" s="32">
        <v>9722525712</v>
      </c>
      <c r="E126" s="33" t="s">
        <v>196</v>
      </c>
    </row>
    <row r="127" spans="1:5" ht="28.8" x14ac:dyDescent="0.3">
      <c r="A127" s="4" t="s">
        <v>252</v>
      </c>
      <c r="B127" s="6"/>
      <c r="C127" s="6" t="s">
        <v>395</v>
      </c>
      <c r="D127" s="32">
        <v>9409511301</v>
      </c>
      <c r="E127" s="33"/>
    </row>
    <row r="128" spans="1:5" ht="43.2" x14ac:dyDescent="0.3">
      <c r="A128" s="4" t="s">
        <v>409</v>
      </c>
      <c r="B128" s="6"/>
      <c r="C128" s="6" t="s">
        <v>434</v>
      </c>
      <c r="D128" s="32"/>
      <c r="E128" s="33" t="s">
        <v>196</v>
      </c>
    </row>
    <row r="129" spans="1:5" ht="28.8" x14ac:dyDescent="0.3">
      <c r="A129" s="4" t="s">
        <v>263</v>
      </c>
      <c r="B129" s="6" t="s">
        <v>321</v>
      </c>
      <c r="C129" s="6" t="s">
        <v>322</v>
      </c>
      <c r="D129" s="32">
        <v>9727987777</v>
      </c>
      <c r="E129" s="33" t="s">
        <v>196</v>
      </c>
    </row>
    <row r="130" spans="1:5" ht="43.2" x14ac:dyDescent="0.3">
      <c r="A130" s="4" t="s">
        <v>279</v>
      </c>
      <c r="B130" s="6" t="s">
        <v>280</v>
      </c>
      <c r="C130" s="6" t="s">
        <v>281</v>
      </c>
      <c r="D130" s="32">
        <v>9662631888</v>
      </c>
      <c r="E130" s="33" t="s">
        <v>196</v>
      </c>
    </row>
    <row r="131" spans="1:5" ht="43.2" x14ac:dyDescent="0.3">
      <c r="A131" s="4" t="s">
        <v>573</v>
      </c>
      <c r="B131" s="6"/>
      <c r="C131" s="6" t="s">
        <v>585</v>
      </c>
      <c r="D131" s="32">
        <v>8460502992</v>
      </c>
      <c r="E131" s="33" t="s">
        <v>196</v>
      </c>
    </row>
    <row r="132" spans="1:5" ht="43.2" x14ac:dyDescent="0.3">
      <c r="A132" s="4" t="s">
        <v>179</v>
      </c>
      <c r="B132" s="6" t="s">
        <v>228</v>
      </c>
      <c r="C132" s="6" t="s">
        <v>227</v>
      </c>
      <c r="D132" s="32">
        <v>9824226646</v>
      </c>
      <c r="E132" s="33"/>
    </row>
    <row r="133" spans="1:5" ht="28.8" x14ac:dyDescent="0.3">
      <c r="A133" s="4" t="s">
        <v>570</v>
      </c>
      <c r="B133" s="6"/>
      <c r="C133" s="6" t="s">
        <v>582</v>
      </c>
      <c r="D133" s="32">
        <v>9510897273</v>
      </c>
      <c r="E133" s="33"/>
    </row>
    <row r="134" spans="1:5" ht="28.8" x14ac:dyDescent="0.3">
      <c r="A134" s="4" t="s">
        <v>193</v>
      </c>
      <c r="B134" s="6"/>
      <c r="C134" s="6" t="s">
        <v>551</v>
      </c>
      <c r="D134" s="32">
        <v>9825209897</v>
      </c>
      <c r="E134" s="33"/>
    </row>
    <row r="135" spans="1:5" ht="43.2" x14ac:dyDescent="0.3">
      <c r="A135" s="4" t="s">
        <v>10</v>
      </c>
      <c r="B135" s="6" t="s">
        <v>119</v>
      </c>
      <c r="C135" s="6" t="s">
        <v>304</v>
      </c>
      <c r="D135" s="32">
        <v>9824489393</v>
      </c>
      <c r="E135" s="33" t="s">
        <v>196</v>
      </c>
    </row>
    <row r="136" spans="1:5" ht="28.8" x14ac:dyDescent="0.3">
      <c r="A136" s="4" t="s">
        <v>369</v>
      </c>
      <c r="B136" s="6"/>
      <c r="C136" s="6" t="s">
        <v>370</v>
      </c>
      <c r="D136" s="32">
        <v>9723355852</v>
      </c>
      <c r="E136" s="33"/>
    </row>
    <row r="137" spans="1:5" ht="43.2" x14ac:dyDescent="0.3">
      <c r="A137" s="4" t="s">
        <v>11</v>
      </c>
      <c r="B137" s="6" t="s">
        <v>224</v>
      </c>
      <c r="C137" s="6" t="s">
        <v>61</v>
      </c>
      <c r="D137" s="32">
        <v>6352432868</v>
      </c>
      <c r="E137" s="33"/>
    </row>
    <row r="138" spans="1:5" ht="28.8" x14ac:dyDescent="0.3">
      <c r="A138" s="4" t="s">
        <v>103</v>
      </c>
      <c r="B138" s="6"/>
      <c r="C138" s="6" t="s">
        <v>208</v>
      </c>
      <c r="D138" s="32">
        <v>9427110611</v>
      </c>
      <c r="E138" s="33" t="s">
        <v>196</v>
      </c>
    </row>
    <row r="139" spans="1:5" ht="43.2" x14ac:dyDescent="0.3">
      <c r="A139" s="4" t="s">
        <v>258</v>
      </c>
      <c r="B139" s="6" t="s">
        <v>329</v>
      </c>
      <c r="C139" s="6" t="s">
        <v>285</v>
      </c>
      <c r="D139" s="32">
        <v>9067752267</v>
      </c>
      <c r="E139" s="33" t="s">
        <v>197</v>
      </c>
    </row>
    <row r="140" spans="1:5" ht="28.8" x14ac:dyDescent="0.3">
      <c r="A140" s="4" t="s">
        <v>94</v>
      </c>
      <c r="B140" s="6" t="s">
        <v>330</v>
      </c>
      <c r="C140" s="6" t="s">
        <v>133</v>
      </c>
      <c r="D140" s="32">
        <v>8200557028</v>
      </c>
      <c r="E140" s="33"/>
    </row>
    <row r="141" spans="1:5" ht="28.8" x14ac:dyDescent="0.3">
      <c r="A141" s="4" t="s">
        <v>147</v>
      </c>
      <c r="B141" s="6" t="s">
        <v>75</v>
      </c>
      <c r="C141" s="6" t="s">
        <v>209</v>
      </c>
      <c r="D141" s="32">
        <v>9375779757</v>
      </c>
      <c r="E141" s="33" t="s">
        <v>196</v>
      </c>
    </row>
    <row r="142" spans="1:5" ht="43.2" x14ac:dyDescent="0.3">
      <c r="A142" s="4" t="s">
        <v>157</v>
      </c>
      <c r="B142" s="6"/>
      <c r="C142" s="6" t="s">
        <v>210</v>
      </c>
      <c r="D142" s="32">
        <v>7777978777</v>
      </c>
      <c r="E142" s="33"/>
    </row>
    <row r="143" spans="1:5" ht="28.8" x14ac:dyDescent="0.3">
      <c r="A143" s="4" t="s">
        <v>25</v>
      </c>
      <c r="B143" s="6"/>
      <c r="C143" s="6" t="s">
        <v>211</v>
      </c>
      <c r="D143" s="32">
        <v>8849179437</v>
      </c>
      <c r="E143" s="33"/>
    </row>
    <row r="144" spans="1:5" ht="28.8" x14ac:dyDescent="0.3">
      <c r="A144" s="4" t="s">
        <v>100</v>
      </c>
      <c r="B144" s="6"/>
      <c r="C144" s="6" t="s">
        <v>305</v>
      </c>
      <c r="D144" s="32">
        <v>9825755273</v>
      </c>
      <c r="E144" s="33"/>
    </row>
    <row r="145" spans="1:5" ht="28.8" x14ac:dyDescent="0.3">
      <c r="A145" s="4" t="s">
        <v>98</v>
      </c>
      <c r="B145" s="6"/>
      <c r="C145" s="6" t="s">
        <v>306</v>
      </c>
      <c r="D145" s="32"/>
      <c r="E145" s="33"/>
    </row>
  </sheetData>
  <autoFilter ref="A1:D1" xr:uid="{3241BAB9-A307-44F9-9457-7888F4D9A28B}">
    <sortState xmlns:xlrd2="http://schemas.microsoft.com/office/spreadsheetml/2017/richdata2" ref="A2:D143">
      <sortCondition ref="A1"/>
    </sortState>
  </autoFilter>
  <sortState xmlns:xlrd2="http://schemas.microsoft.com/office/spreadsheetml/2017/richdata2" ref="A2:E98">
    <sortCondition ref="A2:A9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627A7-C3E0-4ABD-8411-C9A63B3AA281}">
  <sheetPr codeName="Sheet3" filterMode="1">
    <pageSetUpPr fitToPage="1"/>
  </sheetPr>
  <dimension ref="A1:AI73"/>
  <sheetViews>
    <sheetView tabSelected="1" zoomScale="85" zoomScaleNormal="85" workbookViewId="0">
      <pane xSplit="4" ySplit="1" topLeftCell="S32" activePane="bottomRight" state="frozen"/>
      <selection pane="topRight" activeCell="H1" sqref="H1"/>
      <selection pane="bottomLeft" activeCell="A2" sqref="A2"/>
      <selection pane="bottomRight" activeCell="W32" sqref="W32"/>
    </sheetView>
  </sheetViews>
  <sheetFormatPr defaultColWidth="9.109375" defaultRowHeight="14.4" x14ac:dyDescent="0.3"/>
  <cols>
    <col min="1" max="1" width="8.109375" style="1" customWidth="1"/>
    <col min="2" max="2" width="7.21875" style="1" customWidth="1"/>
    <col min="3" max="3" width="7.88671875" style="1" customWidth="1"/>
    <col min="4" max="4" width="41.109375" style="2" customWidth="1"/>
    <col min="5" max="5" width="11.5546875" style="1" customWidth="1"/>
    <col min="6" max="6" width="12.109375" style="4" customWidth="1"/>
    <col min="7" max="7" width="12.33203125" style="5" customWidth="1"/>
    <col min="8" max="8" width="16.33203125" style="5" customWidth="1"/>
    <col min="9" max="9" width="13.5546875" style="5" customWidth="1"/>
    <col min="10" max="10" width="17.33203125" style="7" customWidth="1"/>
    <col min="11" max="11" width="18" style="7" customWidth="1"/>
    <col min="12" max="12" width="12.44140625" style="1" customWidth="1"/>
    <col min="13" max="13" width="25" style="4" customWidth="1"/>
    <col min="14" max="14" width="12.33203125" style="2" customWidth="1"/>
    <col min="15" max="15" width="25.109375" style="2" customWidth="1"/>
    <col min="16" max="16" width="18.44140625" style="2" customWidth="1"/>
    <col min="17" max="17" width="13.5546875" style="14" customWidth="1"/>
    <col min="18" max="18" width="16" style="1" customWidth="1"/>
    <col min="19" max="19" width="13.5546875" style="1" customWidth="1"/>
    <col min="20" max="20" width="13.33203125" style="14" customWidth="1"/>
    <col min="21" max="21" width="11.5546875" style="1" customWidth="1"/>
    <col min="22" max="22" width="11.21875" style="1" customWidth="1"/>
    <col min="23" max="25" width="11.109375" style="1" customWidth="1"/>
    <col min="26" max="26" width="20.5546875" style="34" customWidth="1"/>
    <col min="27" max="27" width="11.109375" style="3" customWidth="1"/>
    <col min="28" max="28" width="16.5546875" style="1" customWidth="1"/>
    <col min="29" max="29" width="17.33203125" style="1" customWidth="1"/>
    <col min="30" max="30" width="12.33203125" style="1" customWidth="1"/>
    <col min="31" max="31" width="19.5546875" style="34" customWidth="1"/>
    <col min="32" max="32" width="11.109375" style="3" customWidth="1"/>
    <col min="33" max="33" width="15.5546875" style="1" customWidth="1"/>
    <col min="34" max="34" width="11.109375" style="1" customWidth="1"/>
    <col min="35" max="35" width="12.21875" style="14" customWidth="1"/>
    <col min="36" max="43" width="9.109375" style="1" customWidth="1"/>
    <col min="44" max="16384" width="9.109375" style="1"/>
  </cols>
  <sheetData>
    <row r="1" spans="1:35" s="14" customFormat="1" ht="43.2" x14ac:dyDescent="0.3">
      <c r="A1" s="14" t="s">
        <v>596</v>
      </c>
      <c r="B1" s="14" t="s">
        <v>597</v>
      </c>
      <c r="C1" s="14" t="s">
        <v>598</v>
      </c>
      <c r="D1" s="14" t="s">
        <v>594</v>
      </c>
      <c r="E1" s="14" t="s">
        <v>593</v>
      </c>
      <c r="F1" s="14" t="s">
        <v>595</v>
      </c>
      <c r="G1" s="14" t="s">
        <v>599</v>
      </c>
      <c r="H1" s="14" t="s">
        <v>600</v>
      </c>
      <c r="I1" s="14" t="s">
        <v>601</v>
      </c>
      <c r="J1" s="14" t="s">
        <v>627</v>
      </c>
      <c r="K1" s="14" t="s">
        <v>603</v>
      </c>
      <c r="L1" s="14" t="s">
        <v>604</v>
      </c>
      <c r="M1" s="14" t="s">
        <v>602</v>
      </c>
      <c r="N1" s="14" t="s">
        <v>605</v>
      </c>
      <c r="O1" s="14" t="s">
        <v>606</v>
      </c>
      <c r="P1" s="14" t="s">
        <v>607</v>
      </c>
      <c r="Q1" s="14" t="s">
        <v>608</v>
      </c>
      <c r="R1" s="14" t="s">
        <v>626</v>
      </c>
      <c r="S1" s="14" t="s">
        <v>609</v>
      </c>
      <c r="T1" s="14" t="s">
        <v>610</v>
      </c>
      <c r="U1" s="14" t="s">
        <v>611</v>
      </c>
      <c r="V1" s="14" t="s">
        <v>612</v>
      </c>
      <c r="W1" s="14" t="s">
        <v>613</v>
      </c>
      <c r="X1" s="14" t="s">
        <v>614</v>
      </c>
      <c r="Y1" s="14" t="s">
        <v>615</v>
      </c>
      <c r="Z1" s="34" t="s">
        <v>616</v>
      </c>
      <c r="AA1" s="14" t="s">
        <v>617</v>
      </c>
      <c r="AB1" s="14" t="s">
        <v>618</v>
      </c>
      <c r="AC1" s="14" t="s">
        <v>619</v>
      </c>
      <c r="AD1" s="14" t="s">
        <v>620</v>
      </c>
      <c r="AE1" s="34" t="s">
        <v>621</v>
      </c>
      <c r="AF1" s="14" t="s">
        <v>622</v>
      </c>
      <c r="AG1" s="14" t="s">
        <v>623</v>
      </c>
      <c r="AH1" s="14" t="s">
        <v>624</v>
      </c>
      <c r="AI1" s="14" t="s">
        <v>625</v>
      </c>
    </row>
    <row r="2" spans="1:35" ht="43.2" hidden="1" x14ac:dyDescent="0.3">
      <c r="A2" s="4" t="s">
        <v>22</v>
      </c>
      <c r="B2" s="4">
        <v>1</v>
      </c>
      <c r="C2" s="4">
        <v>1</v>
      </c>
      <c r="D2" s="6" t="s">
        <v>26</v>
      </c>
      <c r="E2" s="4" t="s">
        <v>5</v>
      </c>
      <c r="F2" s="4">
        <v>172043</v>
      </c>
      <c r="G2" s="5">
        <v>45750</v>
      </c>
      <c r="H2" s="5">
        <v>45762</v>
      </c>
      <c r="I2" s="5">
        <v>45763</v>
      </c>
      <c r="J2" s="7">
        <v>97007994.859999999</v>
      </c>
      <c r="K2" s="7">
        <v>81486715.680000007</v>
      </c>
      <c r="L2" s="8">
        <v>-16</v>
      </c>
      <c r="M2" s="4" t="s">
        <v>24</v>
      </c>
      <c r="N2" s="5">
        <v>45821</v>
      </c>
      <c r="O2" s="25" t="s">
        <v>151</v>
      </c>
      <c r="P2" s="6" t="s">
        <v>291</v>
      </c>
      <c r="Q2" s="14">
        <v>45840</v>
      </c>
      <c r="R2" s="12">
        <v>12</v>
      </c>
      <c r="S2" s="4">
        <v>1027</v>
      </c>
      <c r="T2" s="14">
        <v>45863</v>
      </c>
      <c r="U2" s="4" t="s">
        <v>22</v>
      </c>
      <c r="V2" s="13">
        <v>287</v>
      </c>
      <c r="W2" s="27">
        <v>46045</v>
      </c>
      <c r="X2" s="4" t="s">
        <v>231</v>
      </c>
      <c r="Y2" s="4" t="s">
        <v>241</v>
      </c>
      <c r="Z2" s="34">
        <v>44723002374</v>
      </c>
      <c r="AA2" s="9">
        <v>4075000</v>
      </c>
      <c r="AB2" s="5">
        <v>46000</v>
      </c>
      <c r="AC2" s="4" t="s">
        <v>231</v>
      </c>
      <c r="AD2" s="4" t="s">
        <v>241</v>
      </c>
      <c r="AE2" s="34">
        <v>44723553103</v>
      </c>
      <c r="AF2" s="9">
        <v>1165000</v>
      </c>
      <c r="AG2" s="5">
        <v>46000</v>
      </c>
      <c r="AH2" s="4">
        <v>85</v>
      </c>
      <c r="AI2" s="14">
        <v>46045</v>
      </c>
    </row>
    <row r="3" spans="1:35" ht="43.2" hidden="1" x14ac:dyDescent="0.3">
      <c r="A3" s="4" t="s">
        <v>22</v>
      </c>
      <c r="B3" s="4">
        <v>1</v>
      </c>
      <c r="C3" s="4">
        <v>3</v>
      </c>
      <c r="D3" s="6" t="s">
        <v>44</v>
      </c>
      <c r="E3" s="4" t="s">
        <v>0</v>
      </c>
      <c r="F3" s="4">
        <v>171465</v>
      </c>
      <c r="G3" s="5">
        <v>45750</v>
      </c>
      <c r="H3" s="5">
        <v>45762</v>
      </c>
      <c r="I3" s="5">
        <v>45763</v>
      </c>
      <c r="J3" s="7">
        <v>24276082.690000001</v>
      </c>
      <c r="K3" s="7">
        <v>25004365.170000002</v>
      </c>
      <c r="L3" s="8">
        <v>3</v>
      </c>
      <c r="M3" s="4" t="s">
        <v>24</v>
      </c>
      <c r="N3" s="5">
        <v>45777</v>
      </c>
      <c r="O3" s="25" t="s">
        <v>151</v>
      </c>
      <c r="P3" s="6" t="s">
        <v>159</v>
      </c>
      <c r="Q3" s="14">
        <v>45798</v>
      </c>
      <c r="R3" s="12">
        <v>9</v>
      </c>
      <c r="S3" s="4">
        <v>771</v>
      </c>
      <c r="T3" s="14">
        <v>45804</v>
      </c>
      <c r="U3" s="4" t="s">
        <v>22</v>
      </c>
      <c r="V3" s="13">
        <v>68</v>
      </c>
      <c r="W3" s="27">
        <v>45871</v>
      </c>
      <c r="X3" s="4" t="s">
        <v>232</v>
      </c>
      <c r="Y3" s="4" t="s">
        <v>292</v>
      </c>
      <c r="Z3" s="34" t="s">
        <v>311</v>
      </c>
      <c r="AA3" s="9">
        <v>1251000</v>
      </c>
      <c r="AB3" s="5">
        <v>45859</v>
      </c>
      <c r="AC3" s="11"/>
      <c r="AD3" s="11"/>
      <c r="AF3" s="9"/>
      <c r="AG3" s="11"/>
      <c r="AH3" s="4">
        <v>1060</v>
      </c>
      <c r="AI3" s="14">
        <v>45871</v>
      </c>
    </row>
    <row r="4" spans="1:35" ht="43.2" hidden="1" x14ac:dyDescent="0.3">
      <c r="A4" s="4" t="s">
        <v>22</v>
      </c>
      <c r="B4" s="4">
        <v>1</v>
      </c>
      <c r="C4" s="4">
        <v>4</v>
      </c>
      <c r="D4" s="6" t="s">
        <v>45</v>
      </c>
      <c r="E4" s="4" t="s">
        <v>175</v>
      </c>
      <c r="F4" s="4">
        <v>171505</v>
      </c>
      <c r="G4" s="5">
        <v>45750</v>
      </c>
      <c r="H4" s="5">
        <v>45762</v>
      </c>
      <c r="I4" s="5">
        <v>45763</v>
      </c>
      <c r="J4" s="7">
        <v>5689274.8799999999</v>
      </c>
      <c r="K4" s="7">
        <v>6232600.6299999999</v>
      </c>
      <c r="L4" s="8">
        <v>9.5500000000000007</v>
      </c>
      <c r="M4" s="4" t="s">
        <v>25</v>
      </c>
      <c r="N4" s="5">
        <v>45777</v>
      </c>
      <c r="O4" s="6" t="s">
        <v>18</v>
      </c>
      <c r="P4" s="15" t="s">
        <v>60</v>
      </c>
      <c r="Q4" s="14">
        <v>45791</v>
      </c>
      <c r="R4" s="12">
        <v>4</v>
      </c>
      <c r="S4" s="4">
        <v>891</v>
      </c>
      <c r="T4" s="14">
        <v>45832</v>
      </c>
      <c r="U4" s="4" t="s">
        <v>22</v>
      </c>
      <c r="V4" s="13">
        <v>300</v>
      </c>
      <c r="W4" s="27">
        <v>46056</v>
      </c>
      <c r="X4" s="4" t="s">
        <v>231</v>
      </c>
      <c r="Y4" s="4" t="s">
        <v>241</v>
      </c>
      <c r="Z4" s="34">
        <v>44836477883</v>
      </c>
      <c r="AA4" s="9">
        <v>312000</v>
      </c>
      <c r="AB4" s="5">
        <v>46038</v>
      </c>
      <c r="AC4" s="11"/>
      <c r="AD4" s="11"/>
      <c r="AF4" s="9"/>
      <c r="AG4" s="11"/>
      <c r="AH4" s="4">
        <v>122</v>
      </c>
      <c r="AI4" s="14">
        <v>46056</v>
      </c>
    </row>
    <row r="5" spans="1:35" ht="43.2" hidden="1" x14ac:dyDescent="0.3">
      <c r="A5" s="4" t="s">
        <v>22</v>
      </c>
      <c r="B5" s="4">
        <v>1</v>
      </c>
      <c r="C5" s="4">
        <v>5</v>
      </c>
      <c r="D5" s="6" t="s">
        <v>46</v>
      </c>
      <c r="E5" s="4" t="s">
        <v>3</v>
      </c>
      <c r="F5" s="4">
        <v>171514</v>
      </c>
      <c r="G5" s="5">
        <v>45750</v>
      </c>
      <c r="H5" s="5">
        <v>45762</v>
      </c>
      <c r="I5" s="5">
        <v>45763</v>
      </c>
      <c r="J5" s="7">
        <v>25215998.109999999</v>
      </c>
      <c r="K5" s="7">
        <v>23198718.260000002</v>
      </c>
      <c r="L5" s="8">
        <v>-8</v>
      </c>
      <c r="M5" s="4" t="s">
        <v>24</v>
      </c>
      <c r="N5" s="5">
        <v>45777</v>
      </c>
      <c r="O5" s="25" t="s">
        <v>151</v>
      </c>
      <c r="P5" s="6" t="s">
        <v>158</v>
      </c>
      <c r="Q5" s="14">
        <v>45794</v>
      </c>
      <c r="R5" s="12">
        <v>9</v>
      </c>
      <c r="S5" s="4">
        <v>370</v>
      </c>
      <c r="T5" s="14">
        <v>45804</v>
      </c>
      <c r="U5" s="4" t="s">
        <v>22</v>
      </c>
      <c r="V5" s="13">
        <v>70</v>
      </c>
      <c r="W5" s="27">
        <v>45877</v>
      </c>
      <c r="X5" s="4" t="s">
        <v>232</v>
      </c>
      <c r="Y5" s="4" t="s">
        <v>292</v>
      </c>
      <c r="Z5" s="34" t="s">
        <v>343</v>
      </c>
      <c r="AA5" s="9">
        <v>1160000</v>
      </c>
      <c r="AB5" s="5">
        <v>45859</v>
      </c>
      <c r="AC5" s="11"/>
      <c r="AD5" s="11"/>
      <c r="AF5" s="9"/>
      <c r="AG5" s="11"/>
      <c r="AH5" s="4">
        <v>1048</v>
      </c>
      <c r="AI5" s="14">
        <v>45877</v>
      </c>
    </row>
    <row r="6" spans="1:35" ht="57.6" hidden="1" x14ac:dyDescent="0.3">
      <c r="A6" s="4" t="s">
        <v>22</v>
      </c>
      <c r="B6" s="4">
        <v>1</v>
      </c>
      <c r="C6" s="4">
        <v>7</v>
      </c>
      <c r="D6" s="6" t="s">
        <v>47</v>
      </c>
      <c r="E6" s="4" t="s">
        <v>7</v>
      </c>
      <c r="F6" s="4">
        <v>171523</v>
      </c>
      <c r="G6" s="5">
        <v>45750</v>
      </c>
      <c r="H6" s="5">
        <v>45762</v>
      </c>
      <c r="I6" s="5">
        <v>45763</v>
      </c>
      <c r="J6" s="7">
        <v>22712488.68</v>
      </c>
      <c r="K6" s="7">
        <v>20668364.699999999</v>
      </c>
      <c r="L6" s="8">
        <v>-9</v>
      </c>
      <c r="M6" s="4" t="s">
        <v>24</v>
      </c>
      <c r="N6" s="5">
        <v>45777</v>
      </c>
      <c r="O6" s="25" t="s">
        <v>151</v>
      </c>
      <c r="P6" s="6" t="s">
        <v>154</v>
      </c>
      <c r="Q6" s="14">
        <v>45798</v>
      </c>
      <c r="R6" s="12">
        <v>8</v>
      </c>
      <c r="S6" s="4">
        <v>735</v>
      </c>
      <c r="T6" s="14">
        <v>45798</v>
      </c>
      <c r="U6" s="4" t="s">
        <v>22</v>
      </c>
      <c r="V6" s="13">
        <v>73</v>
      </c>
      <c r="W6" s="27">
        <v>45877</v>
      </c>
      <c r="X6" s="4" t="s">
        <v>232</v>
      </c>
      <c r="Y6" s="4" t="s">
        <v>292</v>
      </c>
      <c r="Z6" s="34" t="s">
        <v>354</v>
      </c>
      <c r="AA6" s="9">
        <v>1034000</v>
      </c>
      <c r="AB6" s="5">
        <v>45859</v>
      </c>
      <c r="AC6" s="11"/>
      <c r="AD6" s="11"/>
      <c r="AF6" s="9"/>
      <c r="AG6" s="11"/>
      <c r="AH6" s="4">
        <v>1051</v>
      </c>
      <c r="AI6" s="14">
        <v>45877</v>
      </c>
    </row>
    <row r="7" spans="1:35" ht="43.2" hidden="1" x14ac:dyDescent="0.3">
      <c r="A7" s="4" t="s">
        <v>22</v>
      </c>
      <c r="B7" s="4">
        <v>1</v>
      </c>
      <c r="C7" s="4">
        <v>8</v>
      </c>
      <c r="D7" s="6" t="s">
        <v>48</v>
      </c>
      <c r="E7" s="4" t="s">
        <v>5</v>
      </c>
      <c r="F7" s="4">
        <v>171531</v>
      </c>
      <c r="G7" s="5">
        <v>45750</v>
      </c>
      <c r="H7" s="5">
        <v>45762</v>
      </c>
      <c r="I7" s="5">
        <v>45763</v>
      </c>
      <c r="J7" s="7">
        <v>21183260.989999998</v>
      </c>
      <c r="K7" s="7">
        <v>19700432.719999999</v>
      </c>
      <c r="L7" s="8">
        <v>-7</v>
      </c>
      <c r="M7" s="4" t="s">
        <v>24</v>
      </c>
      <c r="N7" s="5">
        <v>45777</v>
      </c>
      <c r="O7" s="25" t="s">
        <v>151</v>
      </c>
      <c r="P7" s="6" t="s">
        <v>155</v>
      </c>
      <c r="Q7" s="14">
        <v>45798</v>
      </c>
      <c r="R7" s="12">
        <v>8</v>
      </c>
      <c r="S7" s="4">
        <v>736</v>
      </c>
      <c r="T7" s="14">
        <v>45798</v>
      </c>
      <c r="U7" s="4" t="s">
        <v>22</v>
      </c>
      <c r="V7" s="13">
        <v>67</v>
      </c>
      <c r="W7" s="27">
        <v>45871</v>
      </c>
      <c r="X7" s="4" t="s">
        <v>232</v>
      </c>
      <c r="Y7" s="4" t="s">
        <v>292</v>
      </c>
      <c r="Z7" s="34" t="s">
        <v>310</v>
      </c>
      <c r="AA7" s="9">
        <v>986000</v>
      </c>
      <c r="AB7" s="5">
        <v>45859</v>
      </c>
      <c r="AC7" s="11"/>
      <c r="AD7" s="11"/>
      <c r="AF7" s="9"/>
      <c r="AG7" s="11"/>
      <c r="AH7" s="4">
        <v>1059</v>
      </c>
      <c r="AI7" s="14">
        <v>45871</v>
      </c>
    </row>
    <row r="8" spans="1:35" ht="43.2" hidden="1" x14ac:dyDescent="0.3">
      <c r="A8" s="4" t="s">
        <v>22</v>
      </c>
      <c r="B8" s="4">
        <v>1</v>
      </c>
      <c r="C8" s="4">
        <v>9</v>
      </c>
      <c r="D8" s="6" t="s">
        <v>49</v>
      </c>
      <c r="E8" s="4" t="s">
        <v>6</v>
      </c>
      <c r="F8" s="4">
        <v>171582</v>
      </c>
      <c r="G8" s="5">
        <v>45750</v>
      </c>
      <c r="H8" s="5">
        <v>45762</v>
      </c>
      <c r="I8" s="5">
        <v>45763</v>
      </c>
      <c r="J8" s="7">
        <v>19007984.359999999</v>
      </c>
      <c r="K8" s="7">
        <v>17487345.609999999</v>
      </c>
      <c r="L8" s="8">
        <v>-8</v>
      </c>
      <c r="M8" s="4" t="s">
        <v>24</v>
      </c>
      <c r="N8" s="5">
        <v>45777</v>
      </c>
      <c r="O8" s="6" t="s">
        <v>18</v>
      </c>
      <c r="P8" s="15" t="s">
        <v>189</v>
      </c>
      <c r="Q8" s="14">
        <v>45791</v>
      </c>
      <c r="R8" s="12">
        <v>8</v>
      </c>
      <c r="S8" s="4">
        <v>856</v>
      </c>
      <c r="T8" s="14">
        <v>45826</v>
      </c>
      <c r="U8" s="4" t="s">
        <v>22</v>
      </c>
      <c r="V8" s="13">
        <v>64</v>
      </c>
      <c r="W8" s="27">
        <v>45871</v>
      </c>
      <c r="X8" s="4" t="s">
        <v>232</v>
      </c>
      <c r="Y8" s="4" t="s">
        <v>292</v>
      </c>
      <c r="Z8" s="34" t="s">
        <v>293</v>
      </c>
      <c r="AA8" s="9">
        <v>875000</v>
      </c>
      <c r="AB8" s="5">
        <v>45859</v>
      </c>
      <c r="AC8" s="11"/>
      <c r="AD8" s="11"/>
      <c r="AF8" s="9"/>
      <c r="AG8" s="11"/>
      <c r="AH8" s="4">
        <v>1056</v>
      </c>
      <c r="AI8" s="14">
        <v>45871</v>
      </c>
    </row>
    <row r="9" spans="1:35" ht="57.6" hidden="1" x14ac:dyDescent="0.3">
      <c r="A9" s="4" t="s">
        <v>22</v>
      </c>
      <c r="B9" s="4">
        <v>1</v>
      </c>
      <c r="C9" s="4">
        <v>10</v>
      </c>
      <c r="D9" s="6" t="s">
        <v>50</v>
      </c>
      <c r="E9" s="4" t="s">
        <v>6</v>
      </c>
      <c r="F9" s="4">
        <v>171587</v>
      </c>
      <c r="G9" s="5">
        <v>45750</v>
      </c>
      <c r="H9" s="5">
        <v>45762</v>
      </c>
      <c r="I9" s="5">
        <v>45763</v>
      </c>
      <c r="J9" s="7">
        <v>19285670.34</v>
      </c>
      <c r="K9" s="7">
        <v>22012664.129999999</v>
      </c>
      <c r="L9" s="8">
        <v>14.14</v>
      </c>
      <c r="M9" s="4" t="s">
        <v>157</v>
      </c>
      <c r="N9" s="5">
        <v>45777</v>
      </c>
      <c r="O9" s="25" t="s">
        <v>151</v>
      </c>
      <c r="P9" s="6" t="s">
        <v>187</v>
      </c>
      <c r="Q9" s="14">
        <v>45826</v>
      </c>
      <c r="R9" s="12">
        <v>8</v>
      </c>
      <c r="S9" s="4">
        <v>881</v>
      </c>
      <c r="T9" s="14">
        <v>45829</v>
      </c>
      <c r="U9" s="4" t="s">
        <v>22</v>
      </c>
      <c r="V9" s="13">
        <v>75</v>
      </c>
      <c r="W9" s="27">
        <v>45877</v>
      </c>
      <c r="X9" s="4" t="s">
        <v>232</v>
      </c>
      <c r="Y9" s="4" t="s">
        <v>357</v>
      </c>
      <c r="Z9" s="34" t="s">
        <v>358</v>
      </c>
      <c r="AA9" s="9">
        <v>1101000</v>
      </c>
      <c r="AB9" s="5">
        <v>45847</v>
      </c>
      <c r="AC9" s="11"/>
      <c r="AD9" s="11"/>
      <c r="AF9" s="9"/>
      <c r="AG9" s="11"/>
      <c r="AH9" s="4">
        <v>1053</v>
      </c>
      <c r="AI9" s="14">
        <v>45877</v>
      </c>
    </row>
    <row r="10" spans="1:35" ht="43.2" hidden="1" x14ac:dyDescent="0.3">
      <c r="A10" s="4" t="s">
        <v>22</v>
      </c>
      <c r="B10" s="4">
        <v>1</v>
      </c>
      <c r="C10" s="4">
        <v>11</v>
      </c>
      <c r="D10" s="6" t="s">
        <v>51</v>
      </c>
      <c r="E10" s="4" t="s">
        <v>6</v>
      </c>
      <c r="F10" s="4">
        <v>171609</v>
      </c>
      <c r="G10" s="5">
        <v>45750</v>
      </c>
      <c r="H10" s="5">
        <v>45762</v>
      </c>
      <c r="I10" s="5">
        <v>45763</v>
      </c>
      <c r="J10" s="7">
        <v>24637886.640000001</v>
      </c>
      <c r="K10" s="7">
        <v>27126313.190000001</v>
      </c>
      <c r="L10" s="8">
        <v>10.1</v>
      </c>
      <c r="M10" s="4" t="s">
        <v>157</v>
      </c>
      <c r="N10" s="5">
        <v>45777</v>
      </c>
      <c r="O10" s="25" t="s">
        <v>151</v>
      </c>
      <c r="P10" s="6" t="s">
        <v>156</v>
      </c>
      <c r="Q10" s="14">
        <v>45798</v>
      </c>
      <c r="R10" s="12">
        <v>8</v>
      </c>
      <c r="S10" s="4">
        <v>737</v>
      </c>
      <c r="T10" s="14">
        <v>45798</v>
      </c>
      <c r="U10" s="4" t="s">
        <v>22</v>
      </c>
      <c r="V10" s="13">
        <v>57</v>
      </c>
      <c r="W10" s="27">
        <v>45857</v>
      </c>
      <c r="X10" s="4" t="s">
        <v>232</v>
      </c>
      <c r="Y10" s="4" t="s">
        <v>234</v>
      </c>
      <c r="Z10" s="34" t="s">
        <v>233</v>
      </c>
      <c r="AA10" s="9">
        <v>1357000</v>
      </c>
      <c r="AB10" s="5">
        <v>45824</v>
      </c>
      <c r="AC10" s="11"/>
      <c r="AD10" s="11"/>
      <c r="AF10" s="9"/>
      <c r="AG10" s="11"/>
      <c r="AH10" s="4">
        <v>993</v>
      </c>
      <c r="AI10" s="14">
        <v>45857</v>
      </c>
    </row>
    <row r="11" spans="1:35" ht="43.2" hidden="1" x14ac:dyDescent="0.3">
      <c r="A11" s="4" t="s">
        <v>22</v>
      </c>
      <c r="B11" s="4">
        <v>1</v>
      </c>
      <c r="C11" s="4">
        <v>12</v>
      </c>
      <c r="D11" s="6" t="s">
        <v>52</v>
      </c>
      <c r="E11" s="4" t="s">
        <v>0</v>
      </c>
      <c r="F11" s="4">
        <v>171614</v>
      </c>
      <c r="G11" s="5">
        <v>45750</v>
      </c>
      <c r="H11" s="5">
        <v>45762</v>
      </c>
      <c r="I11" s="5">
        <v>45763</v>
      </c>
      <c r="J11" s="7">
        <v>34424113.649999999</v>
      </c>
      <c r="K11" s="7">
        <v>28513493.34</v>
      </c>
      <c r="L11" s="8">
        <v>-17.170000000000002</v>
      </c>
      <c r="M11" s="4" t="s">
        <v>12</v>
      </c>
      <c r="N11" s="5">
        <v>45792</v>
      </c>
      <c r="O11" s="25" t="s">
        <v>151</v>
      </c>
      <c r="P11" s="6" t="s">
        <v>161</v>
      </c>
      <c r="Q11" s="14">
        <v>45807</v>
      </c>
      <c r="R11" s="12">
        <v>10</v>
      </c>
      <c r="S11" s="4">
        <v>882</v>
      </c>
      <c r="T11" s="14">
        <v>45829</v>
      </c>
      <c r="U11" s="4" t="s">
        <v>22</v>
      </c>
      <c r="V11" s="13">
        <v>239</v>
      </c>
      <c r="W11" s="27">
        <v>46004</v>
      </c>
      <c r="X11" s="4" t="s">
        <v>232</v>
      </c>
      <c r="Y11" s="4" t="s">
        <v>366</v>
      </c>
      <c r="Z11" s="34" t="s">
        <v>489</v>
      </c>
      <c r="AA11" s="9">
        <v>1426000</v>
      </c>
      <c r="AB11" s="5">
        <v>45971</v>
      </c>
      <c r="AC11" s="4" t="s">
        <v>232</v>
      </c>
      <c r="AD11" s="4" t="s">
        <v>366</v>
      </c>
      <c r="AE11" s="34" t="s">
        <v>490</v>
      </c>
      <c r="AF11" s="9">
        <v>494000</v>
      </c>
      <c r="AG11" s="5">
        <v>45971</v>
      </c>
      <c r="AH11" s="4">
        <v>1705</v>
      </c>
      <c r="AI11" s="14">
        <v>46004</v>
      </c>
    </row>
    <row r="12" spans="1:35" ht="43.2" hidden="1" x14ac:dyDescent="0.3">
      <c r="A12" s="4" t="s">
        <v>22</v>
      </c>
      <c r="B12" s="4">
        <v>1</v>
      </c>
      <c r="C12" s="4">
        <v>13</v>
      </c>
      <c r="D12" s="6" t="s">
        <v>53</v>
      </c>
      <c r="E12" s="4" t="s">
        <v>6</v>
      </c>
      <c r="F12" s="4">
        <v>171617</v>
      </c>
      <c r="G12" s="5">
        <v>45750</v>
      </c>
      <c r="H12" s="5">
        <v>45762</v>
      </c>
      <c r="I12" s="5">
        <v>45763</v>
      </c>
      <c r="J12" s="7">
        <v>23364615.09</v>
      </c>
      <c r="K12" s="7">
        <v>23362278.629999999</v>
      </c>
      <c r="L12" s="8">
        <v>-0.01</v>
      </c>
      <c r="M12" s="4" t="s">
        <v>9</v>
      </c>
      <c r="N12" s="5">
        <v>45777</v>
      </c>
      <c r="O12" s="25" t="s">
        <v>151</v>
      </c>
      <c r="P12" s="6" t="s">
        <v>218</v>
      </c>
      <c r="Q12" s="14">
        <v>45804</v>
      </c>
      <c r="R12" s="12">
        <v>8</v>
      </c>
      <c r="S12" s="4">
        <v>883</v>
      </c>
      <c r="T12" s="14">
        <v>45829</v>
      </c>
      <c r="U12" s="4" t="s">
        <v>22</v>
      </c>
      <c r="V12" s="13">
        <v>321</v>
      </c>
      <c r="W12" s="27">
        <v>46083</v>
      </c>
      <c r="X12" s="4" t="s">
        <v>231</v>
      </c>
      <c r="Y12" s="4" t="s">
        <v>439</v>
      </c>
      <c r="Z12" s="34" t="s">
        <v>564</v>
      </c>
      <c r="AA12" s="9">
        <v>1169000</v>
      </c>
      <c r="AB12" s="5">
        <v>46080</v>
      </c>
      <c r="AC12" s="11"/>
      <c r="AD12" s="11"/>
      <c r="AF12" s="9"/>
      <c r="AG12" s="11"/>
      <c r="AH12" s="4">
        <v>325</v>
      </c>
      <c r="AI12" s="14">
        <v>46083</v>
      </c>
    </row>
    <row r="13" spans="1:35" ht="43.2" hidden="1" x14ac:dyDescent="0.3">
      <c r="A13" s="4" t="s">
        <v>22</v>
      </c>
      <c r="B13" s="4">
        <v>1</v>
      </c>
      <c r="C13" s="4">
        <v>14</v>
      </c>
      <c r="D13" s="6" t="s">
        <v>54</v>
      </c>
      <c r="E13" s="4" t="s">
        <v>6</v>
      </c>
      <c r="F13" s="4">
        <v>171618</v>
      </c>
      <c r="G13" s="5">
        <v>45750</v>
      </c>
      <c r="H13" s="5">
        <v>45762</v>
      </c>
      <c r="I13" s="5">
        <v>45763</v>
      </c>
      <c r="J13" s="7">
        <v>26862658.760000002</v>
      </c>
      <c r="K13" s="7">
        <v>30142589.390000001</v>
      </c>
      <c r="L13" s="8">
        <v>12.21</v>
      </c>
      <c r="M13" s="4" t="s">
        <v>157</v>
      </c>
      <c r="N13" s="5">
        <v>45777</v>
      </c>
      <c r="O13" s="25" t="s">
        <v>151</v>
      </c>
      <c r="P13" s="6" t="s">
        <v>160</v>
      </c>
      <c r="Q13" s="14">
        <v>45804</v>
      </c>
      <c r="R13" s="12">
        <v>6</v>
      </c>
      <c r="S13" s="4">
        <v>772</v>
      </c>
      <c r="T13" s="14">
        <v>45804</v>
      </c>
      <c r="U13" s="4" t="s">
        <v>22</v>
      </c>
      <c r="V13" s="13">
        <v>58</v>
      </c>
      <c r="W13" s="27">
        <v>45857</v>
      </c>
      <c r="X13" s="4" t="s">
        <v>232</v>
      </c>
      <c r="Y13" s="4" t="s">
        <v>234</v>
      </c>
      <c r="Z13" s="34" t="s">
        <v>235</v>
      </c>
      <c r="AA13" s="9">
        <v>1508000</v>
      </c>
      <c r="AB13" s="5">
        <v>45824</v>
      </c>
      <c r="AC13" s="11"/>
      <c r="AD13" s="11"/>
      <c r="AF13" s="9"/>
      <c r="AG13" s="11"/>
      <c r="AH13" s="4">
        <v>994</v>
      </c>
      <c r="AI13" s="14">
        <v>45857</v>
      </c>
    </row>
    <row r="14" spans="1:35" ht="43.2" hidden="1" x14ac:dyDescent="0.3">
      <c r="A14" s="4" t="s">
        <v>22</v>
      </c>
      <c r="B14" s="4">
        <v>1</v>
      </c>
      <c r="C14" s="4">
        <v>15</v>
      </c>
      <c r="D14" s="6" t="s">
        <v>55</v>
      </c>
      <c r="E14" s="4" t="s">
        <v>0</v>
      </c>
      <c r="F14" s="4">
        <v>171621</v>
      </c>
      <c r="G14" s="5">
        <v>45750</v>
      </c>
      <c r="H14" s="5">
        <v>45762</v>
      </c>
      <c r="I14" s="5">
        <v>45763</v>
      </c>
      <c r="J14" s="7">
        <v>11020839.960000001</v>
      </c>
      <c r="K14" s="7">
        <v>11020839.960000001</v>
      </c>
      <c r="L14" s="8">
        <v>0</v>
      </c>
      <c r="M14" s="4" t="s">
        <v>24</v>
      </c>
      <c r="N14" s="5">
        <v>45777</v>
      </c>
      <c r="O14" s="6" t="s">
        <v>18</v>
      </c>
      <c r="P14" s="15" t="s">
        <v>190</v>
      </c>
      <c r="Q14" s="14">
        <v>45791</v>
      </c>
      <c r="R14" s="12">
        <v>8</v>
      </c>
      <c r="S14" s="4">
        <v>857</v>
      </c>
      <c r="T14" s="14">
        <v>45826</v>
      </c>
      <c r="U14" s="4" t="s">
        <v>22</v>
      </c>
      <c r="V14" s="13">
        <v>69</v>
      </c>
      <c r="W14" s="27">
        <v>45871</v>
      </c>
      <c r="X14" s="4" t="s">
        <v>232</v>
      </c>
      <c r="Y14" s="4" t="s">
        <v>292</v>
      </c>
      <c r="Z14" s="34" t="s">
        <v>312</v>
      </c>
      <c r="AA14" s="9">
        <v>552000</v>
      </c>
      <c r="AB14" s="5">
        <v>45859</v>
      </c>
      <c r="AC14" s="11"/>
      <c r="AD14" s="11"/>
      <c r="AF14" s="9"/>
      <c r="AG14" s="11"/>
      <c r="AH14" s="4">
        <v>1061</v>
      </c>
      <c r="AI14" s="14">
        <v>45871</v>
      </c>
    </row>
    <row r="15" spans="1:35" ht="43.2" hidden="1" x14ac:dyDescent="0.3">
      <c r="A15" s="4" t="s">
        <v>22</v>
      </c>
      <c r="B15" s="4">
        <v>1</v>
      </c>
      <c r="C15" s="4">
        <v>16</v>
      </c>
      <c r="D15" s="6" t="s">
        <v>56</v>
      </c>
      <c r="E15" s="4" t="s">
        <v>2</v>
      </c>
      <c r="F15" s="4">
        <v>171624</v>
      </c>
      <c r="G15" s="5">
        <v>45750</v>
      </c>
      <c r="H15" s="5">
        <v>45762</v>
      </c>
      <c r="I15" s="5">
        <v>45763</v>
      </c>
      <c r="J15" s="7">
        <v>24743989.260000002</v>
      </c>
      <c r="K15" s="7">
        <v>23259349.899999999</v>
      </c>
      <c r="L15" s="8">
        <v>-6</v>
      </c>
      <c r="M15" s="4" t="s">
        <v>8</v>
      </c>
      <c r="N15" s="5">
        <v>45777</v>
      </c>
      <c r="O15" s="25" t="s">
        <v>151</v>
      </c>
      <c r="P15" s="6" t="s">
        <v>152</v>
      </c>
      <c r="Q15" s="14">
        <v>45797</v>
      </c>
      <c r="R15" s="12">
        <v>8</v>
      </c>
      <c r="S15" s="4">
        <v>892</v>
      </c>
      <c r="T15" s="14">
        <v>45826</v>
      </c>
      <c r="U15" s="4" t="s">
        <v>22</v>
      </c>
      <c r="V15" s="13">
        <v>215</v>
      </c>
      <c r="W15" s="27">
        <v>45981</v>
      </c>
      <c r="X15" s="4" t="s">
        <v>232</v>
      </c>
      <c r="Y15" s="4" t="s">
        <v>241</v>
      </c>
      <c r="Z15" s="34" t="s">
        <v>474</v>
      </c>
      <c r="AA15" s="9">
        <v>1163000</v>
      </c>
      <c r="AB15" s="5">
        <v>45912</v>
      </c>
      <c r="AC15" s="11"/>
      <c r="AD15" s="11"/>
      <c r="AF15" s="9"/>
      <c r="AG15" s="11"/>
      <c r="AH15" s="4">
        <v>1547</v>
      </c>
      <c r="AI15" s="14">
        <v>45981</v>
      </c>
    </row>
    <row r="16" spans="1:35" ht="43.2" hidden="1" x14ac:dyDescent="0.3">
      <c r="A16" s="4" t="s">
        <v>22</v>
      </c>
      <c r="B16" s="4">
        <v>1</v>
      </c>
      <c r="C16" s="4">
        <v>17</v>
      </c>
      <c r="D16" s="6" t="s">
        <v>238</v>
      </c>
      <c r="E16" s="4" t="s">
        <v>6</v>
      </c>
      <c r="F16" s="4">
        <v>171483</v>
      </c>
      <c r="G16" s="5">
        <v>45750</v>
      </c>
      <c r="H16" s="5">
        <v>45762</v>
      </c>
      <c r="I16" s="5">
        <v>45763</v>
      </c>
      <c r="J16" s="7">
        <v>29379827.5</v>
      </c>
      <c r="K16" s="7">
        <v>30848818.879999999</v>
      </c>
      <c r="L16" s="8">
        <v>5</v>
      </c>
      <c r="M16" s="4" t="s">
        <v>8</v>
      </c>
      <c r="N16" s="5">
        <v>45777</v>
      </c>
      <c r="O16" s="25" t="s">
        <v>151</v>
      </c>
      <c r="P16" s="6" t="s">
        <v>153</v>
      </c>
      <c r="Q16" s="14">
        <v>45797</v>
      </c>
      <c r="R16" s="12">
        <v>6</v>
      </c>
      <c r="S16" s="4">
        <v>734</v>
      </c>
      <c r="T16" s="14">
        <v>45798</v>
      </c>
      <c r="U16" s="4" t="s">
        <v>22</v>
      </c>
      <c r="V16" s="13">
        <v>61</v>
      </c>
      <c r="W16" s="27">
        <v>45857</v>
      </c>
      <c r="X16" s="4" t="s">
        <v>232</v>
      </c>
      <c r="Y16" s="4" t="s">
        <v>236</v>
      </c>
      <c r="Z16" s="34" t="s">
        <v>237</v>
      </c>
      <c r="AA16" s="9">
        <v>1543000</v>
      </c>
      <c r="AB16" s="5">
        <v>45831</v>
      </c>
      <c r="AC16" s="11"/>
      <c r="AD16" s="11"/>
      <c r="AF16" s="9"/>
      <c r="AG16" s="11"/>
      <c r="AH16" s="4">
        <v>997</v>
      </c>
      <c r="AI16" s="14">
        <v>45857</v>
      </c>
    </row>
    <row r="17" spans="1:35" ht="57.6" hidden="1" x14ac:dyDescent="0.3">
      <c r="A17" s="4" t="s">
        <v>22</v>
      </c>
      <c r="B17" s="4">
        <v>1</v>
      </c>
      <c r="C17" s="4">
        <v>19</v>
      </c>
      <c r="D17" s="6" t="s">
        <v>57</v>
      </c>
      <c r="E17" s="4" t="s">
        <v>1</v>
      </c>
      <c r="F17" s="4">
        <v>171638</v>
      </c>
      <c r="G17" s="5">
        <v>45750</v>
      </c>
      <c r="H17" s="5">
        <v>45762</v>
      </c>
      <c r="I17" s="5">
        <v>45763</v>
      </c>
      <c r="J17" s="7">
        <v>12145304.619999999</v>
      </c>
      <c r="K17" s="7">
        <v>9527991.4700000007</v>
      </c>
      <c r="L17" s="8">
        <v>-21.55</v>
      </c>
      <c r="M17" s="4" t="s">
        <v>11</v>
      </c>
      <c r="N17" s="5">
        <v>45777</v>
      </c>
      <c r="O17" s="6" t="s">
        <v>18</v>
      </c>
      <c r="P17" s="15" t="s">
        <v>191</v>
      </c>
      <c r="Q17" s="14">
        <v>45791</v>
      </c>
      <c r="R17" s="12">
        <v>8</v>
      </c>
      <c r="S17" s="4">
        <v>858</v>
      </c>
      <c r="T17" s="14">
        <v>45826</v>
      </c>
      <c r="U17" s="4" t="s">
        <v>22</v>
      </c>
      <c r="V17" s="13">
        <v>244</v>
      </c>
      <c r="W17" s="27">
        <v>46013</v>
      </c>
      <c r="X17" s="4" t="s">
        <v>231</v>
      </c>
      <c r="Y17" s="4" t="s">
        <v>387</v>
      </c>
      <c r="Z17" s="34">
        <v>5917294652</v>
      </c>
      <c r="AA17" s="9">
        <v>477000</v>
      </c>
      <c r="AB17" s="5">
        <v>46009</v>
      </c>
      <c r="AC17" s="4" t="s">
        <v>231</v>
      </c>
      <c r="AD17" s="4" t="s">
        <v>387</v>
      </c>
      <c r="AE17" s="34">
        <v>5917293182</v>
      </c>
      <c r="AF17" s="9">
        <v>421000</v>
      </c>
      <c r="AG17" s="5">
        <v>46009</v>
      </c>
      <c r="AH17" s="4">
        <v>1788</v>
      </c>
      <c r="AI17" s="14">
        <v>46013</v>
      </c>
    </row>
    <row r="18" spans="1:35" ht="57.6" hidden="1" x14ac:dyDescent="0.3">
      <c r="A18" s="4" t="s">
        <v>22</v>
      </c>
      <c r="B18" s="4">
        <v>1</v>
      </c>
      <c r="C18" s="4">
        <v>20</v>
      </c>
      <c r="D18" s="6" t="s">
        <v>58</v>
      </c>
      <c r="E18" s="4" t="s">
        <v>1</v>
      </c>
      <c r="F18" s="4">
        <v>171643</v>
      </c>
      <c r="G18" s="5">
        <v>45750</v>
      </c>
      <c r="H18" s="5">
        <v>45762</v>
      </c>
      <c r="I18" s="5">
        <v>45763</v>
      </c>
      <c r="J18" s="7">
        <v>15944827.16</v>
      </c>
      <c r="K18" s="7">
        <v>12508716.91</v>
      </c>
      <c r="L18" s="8">
        <v>-21.55</v>
      </c>
      <c r="M18" s="4" t="s">
        <v>11</v>
      </c>
      <c r="N18" s="5">
        <v>45777</v>
      </c>
      <c r="O18" s="6" t="s">
        <v>18</v>
      </c>
      <c r="P18" s="15" t="s">
        <v>62</v>
      </c>
      <c r="Q18" s="14">
        <v>45791</v>
      </c>
      <c r="R18" s="12">
        <v>8</v>
      </c>
      <c r="S18" s="4">
        <v>722</v>
      </c>
      <c r="T18" s="14">
        <v>45797</v>
      </c>
      <c r="U18" s="4" t="s">
        <v>22</v>
      </c>
      <c r="V18" s="13">
        <v>305</v>
      </c>
      <c r="W18" s="27">
        <v>46069</v>
      </c>
      <c r="X18" s="4" t="s">
        <v>231</v>
      </c>
      <c r="Y18" s="4" t="s">
        <v>387</v>
      </c>
      <c r="Z18" s="34">
        <v>5945226836</v>
      </c>
      <c r="AA18" s="9">
        <v>626000</v>
      </c>
      <c r="AB18" s="5">
        <v>46065</v>
      </c>
      <c r="AC18" s="4" t="s">
        <v>231</v>
      </c>
      <c r="AD18" s="4" t="s">
        <v>387</v>
      </c>
      <c r="AE18" s="34">
        <v>5945225050</v>
      </c>
      <c r="AF18" s="9">
        <v>553000</v>
      </c>
      <c r="AG18" s="5">
        <v>46065</v>
      </c>
      <c r="AH18" s="4">
        <v>242</v>
      </c>
      <c r="AI18" s="14">
        <v>46069</v>
      </c>
    </row>
    <row r="19" spans="1:35" ht="57.6" hidden="1" x14ac:dyDescent="0.3">
      <c r="A19" s="4" t="s">
        <v>22</v>
      </c>
      <c r="B19" s="4">
        <v>1</v>
      </c>
      <c r="C19" s="4">
        <v>21</v>
      </c>
      <c r="D19" s="6" t="s">
        <v>43</v>
      </c>
      <c r="E19" s="4" t="s">
        <v>2</v>
      </c>
      <c r="F19" s="4">
        <v>171660</v>
      </c>
      <c r="G19" s="5">
        <v>45750</v>
      </c>
      <c r="H19" s="5">
        <v>45762</v>
      </c>
      <c r="I19" s="5">
        <v>45763</v>
      </c>
      <c r="J19" s="7">
        <v>14196862.689999999</v>
      </c>
      <c r="K19" s="7">
        <v>9655286.3200000003</v>
      </c>
      <c r="L19" s="8">
        <v>-31.99</v>
      </c>
      <c r="M19" s="4" t="s">
        <v>8</v>
      </c>
      <c r="N19" s="5">
        <v>45777</v>
      </c>
      <c r="O19" s="6" t="s">
        <v>18</v>
      </c>
      <c r="P19" s="15" t="s">
        <v>41</v>
      </c>
      <c r="Q19" s="14">
        <v>45791</v>
      </c>
      <c r="R19" s="12">
        <v>6</v>
      </c>
      <c r="S19" s="4">
        <v>721</v>
      </c>
      <c r="T19" s="14">
        <v>45797</v>
      </c>
      <c r="U19" s="4" t="s">
        <v>22</v>
      </c>
      <c r="V19" s="13">
        <v>62</v>
      </c>
      <c r="W19" s="27">
        <v>45857</v>
      </c>
      <c r="X19" s="4" t="s">
        <v>232</v>
      </c>
      <c r="Y19" s="4" t="s">
        <v>236</v>
      </c>
      <c r="Z19" s="34" t="s">
        <v>239</v>
      </c>
      <c r="AA19" s="9">
        <v>483000</v>
      </c>
      <c r="AB19" s="5">
        <v>45831</v>
      </c>
      <c r="AC19" s="4" t="s">
        <v>232</v>
      </c>
      <c r="AD19" s="4" t="s">
        <v>236</v>
      </c>
      <c r="AE19" s="34" t="s">
        <v>240</v>
      </c>
      <c r="AF19" s="9">
        <v>937000</v>
      </c>
      <c r="AG19" s="5">
        <v>45831</v>
      </c>
      <c r="AH19" s="4">
        <v>998</v>
      </c>
      <c r="AI19" s="14">
        <v>45857</v>
      </c>
    </row>
    <row r="20" spans="1:35" ht="57.6" hidden="1" x14ac:dyDescent="0.3">
      <c r="A20" s="4" t="s">
        <v>22</v>
      </c>
      <c r="B20" s="4">
        <v>1</v>
      </c>
      <c r="C20" s="4">
        <v>22</v>
      </c>
      <c r="D20" s="6" t="s">
        <v>59</v>
      </c>
      <c r="E20" s="4" t="s">
        <v>2</v>
      </c>
      <c r="F20" s="4">
        <v>171664</v>
      </c>
      <c r="G20" s="5">
        <v>45750</v>
      </c>
      <c r="H20" s="5">
        <v>45762</v>
      </c>
      <c r="I20" s="5">
        <v>45763</v>
      </c>
      <c r="J20" s="7">
        <v>18881716.440000001</v>
      </c>
      <c r="K20" s="7">
        <v>12841455.35</v>
      </c>
      <c r="L20" s="8">
        <v>-31.99</v>
      </c>
      <c r="M20" s="4" t="s">
        <v>8</v>
      </c>
      <c r="N20" s="5">
        <v>45777</v>
      </c>
      <c r="O20" s="6" t="s">
        <v>18</v>
      </c>
      <c r="P20" s="15" t="s">
        <v>192</v>
      </c>
      <c r="Q20" s="14">
        <v>45791</v>
      </c>
      <c r="R20" s="12">
        <v>8</v>
      </c>
      <c r="S20" s="4">
        <v>859</v>
      </c>
      <c r="T20" s="14">
        <v>45826</v>
      </c>
      <c r="U20" s="4" t="s">
        <v>22</v>
      </c>
      <c r="V20" s="13">
        <v>216</v>
      </c>
      <c r="W20" s="27">
        <v>45981</v>
      </c>
      <c r="X20" s="4" t="s">
        <v>232</v>
      </c>
      <c r="Y20" s="4" t="s">
        <v>241</v>
      </c>
      <c r="Z20" s="34" t="s">
        <v>475</v>
      </c>
      <c r="AA20" s="9">
        <v>643000</v>
      </c>
      <c r="AB20" s="5">
        <v>45912</v>
      </c>
      <c r="AC20" s="4" t="s">
        <v>232</v>
      </c>
      <c r="AD20" s="4" t="s">
        <v>241</v>
      </c>
      <c r="AE20" s="34" t="s">
        <v>476</v>
      </c>
      <c r="AF20" s="9">
        <v>1246000</v>
      </c>
      <c r="AG20" s="5">
        <v>45911</v>
      </c>
      <c r="AH20" s="4">
        <v>1548</v>
      </c>
      <c r="AI20" s="14">
        <v>45981</v>
      </c>
    </row>
    <row r="21" spans="1:35" ht="43.2" hidden="1" x14ac:dyDescent="0.3">
      <c r="A21" s="4" t="s">
        <v>22</v>
      </c>
      <c r="B21" s="4">
        <v>2</v>
      </c>
      <c r="C21" s="4">
        <v>1</v>
      </c>
      <c r="D21" s="6" t="s">
        <v>27</v>
      </c>
      <c r="E21" s="4" t="s">
        <v>6</v>
      </c>
      <c r="F21" s="4">
        <v>180644</v>
      </c>
      <c r="G21" s="5">
        <v>45778</v>
      </c>
      <c r="H21" s="5">
        <v>45789</v>
      </c>
      <c r="I21" s="5">
        <v>45790</v>
      </c>
      <c r="J21" s="7">
        <v>13447081.02</v>
      </c>
      <c r="K21" s="7">
        <v>13043668.59</v>
      </c>
      <c r="L21" s="8">
        <v>-3</v>
      </c>
      <c r="M21" s="4" t="s">
        <v>24</v>
      </c>
      <c r="N21" s="5">
        <v>45804</v>
      </c>
      <c r="O21" s="6" t="s">
        <v>18</v>
      </c>
      <c r="P21" s="15" t="s">
        <v>170</v>
      </c>
      <c r="Q21" s="14">
        <v>45810</v>
      </c>
      <c r="R21" s="12">
        <v>6</v>
      </c>
      <c r="S21" s="4">
        <v>861</v>
      </c>
      <c r="T21" s="14">
        <v>45827</v>
      </c>
      <c r="U21" s="4" t="s">
        <v>22</v>
      </c>
      <c r="V21" s="13">
        <v>66</v>
      </c>
      <c r="W21" s="27">
        <v>45871</v>
      </c>
      <c r="X21" s="4" t="s">
        <v>232</v>
      </c>
      <c r="Y21" s="4" t="s">
        <v>292</v>
      </c>
      <c r="Z21" s="34" t="s">
        <v>309</v>
      </c>
      <c r="AA21" s="9">
        <v>653000</v>
      </c>
      <c r="AB21" s="5">
        <v>45859</v>
      </c>
      <c r="AC21" s="11"/>
      <c r="AD21" s="11"/>
      <c r="AF21" s="9"/>
      <c r="AG21" s="11"/>
      <c r="AH21" s="4">
        <v>1058</v>
      </c>
      <c r="AI21" s="14">
        <v>45871</v>
      </c>
    </row>
    <row r="22" spans="1:35" ht="43.2" hidden="1" x14ac:dyDescent="0.3">
      <c r="A22" s="4" t="s">
        <v>22</v>
      </c>
      <c r="B22" s="4">
        <v>2</v>
      </c>
      <c r="C22" s="4">
        <v>3</v>
      </c>
      <c r="D22" s="6" t="s">
        <v>344</v>
      </c>
      <c r="E22" s="4" t="s">
        <v>175</v>
      </c>
      <c r="F22" s="4">
        <v>180803</v>
      </c>
      <c r="G22" s="5">
        <v>45778</v>
      </c>
      <c r="H22" s="5">
        <v>45789</v>
      </c>
      <c r="I22" s="5">
        <v>45790</v>
      </c>
      <c r="J22" s="7">
        <v>18362127.199999999</v>
      </c>
      <c r="K22" s="7">
        <v>15220367.24</v>
      </c>
      <c r="L22" s="8">
        <v>-17.11</v>
      </c>
      <c r="M22" s="4" t="s">
        <v>9</v>
      </c>
      <c r="N22" s="5">
        <v>45804</v>
      </c>
      <c r="O22" s="6" t="s">
        <v>18</v>
      </c>
      <c r="P22" s="15" t="s">
        <v>166</v>
      </c>
      <c r="Q22" s="14">
        <v>45810</v>
      </c>
      <c r="R22" s="12">
        <v>8</v>
      </c>
      <c r="S22" s="4">
        <v>863</v>
      </c>
      <c r="T22" s="14">
        <v>45827</v>
      </c>
      <c r="U22" s="4" t="s">
        <v>22</v>
      </c>
      <c r="V22" s="13">
        <v>337</v>
      </c>
      <c r="W22" s="27">
        <v>46088</v>
      </c>
      <c r="X22" s="4" t="s">
        <v>231</v>
      </c>
      <c r="Y22" s="4" t="s">
        <v>439</v>
      </c>
      <c r="Z22" s="34" t="s">
        <v>579</v>
      </c>
      <c r="AA22" s="9">
        <f>283000+479000</f>
        <v>762000</v>
      </c>
      <c r="AB22" s="5" t="s">
        <v>579</v>
      </c>
      <c r="AC22" s="4" t="s">
        <v>231</v>
      </c>
      <c r="AD22" s="4" t="s">
        <v>439</v>
      </c>
      <c r="AE22" s="34" t="s">
        <v>579</v>
      </c>
      <c r="AF22" s="9">
        <v>262000</v>
      </c>
      <c r="AG22" s="5" t="s">
        <v>579</v>
      </c>
      <c r="AH22" s="4">
        <v>347</v>
      </c>
      <c r="AI22" s="14">
        <v>46088</v>
      </c>
    </row>
    <row r="23" spans="1:35" ht="43.2" hidden="1" x14ac:dyDescent="0.3">
      <c r="A23" s="4" t="s">
        <v>22</v>
      </c>
      <c r="B23" s="4">
        <v>2</v>
      </c>
      <c r="C23" s="4">
        <v>4</v>
      </c>
      <c r="D23" s="6" t="s">
        <v>345</v>
      </c>
      <c r="E23" s="4" t="s">
        <v>5</v>
      </c>
      <c r="F23" s="4">
        <v>180808</v>
      </c>
      <c r="G23" s="5">
        <v>45778</v>
      </c>
      <c r="H23" s="5">
        <v>45789</v>
      </c>
      <c r="I23" s="5">
        <v>45790</v>
      </c>
      <c r="J23" s="7">
        <v>35977034.640000001</v>
      </c>
      <c r="K23" s="7">
        <v>30569686.329999998</v>
      </c>
      <c r="L23" s="8">
        <v>-15.03</v>
      </c>
      <c r="M23" s="4" t="s">
        <v>140</v>
      </c>
      <c r="N23" s="5">
        <v>45804</v>
      </c>
      <c r="O23" s="25" t="s">
        <v>151</v>
      </c>
      <c r="P23" s="6" t="s">
        <v>184</v>
      </c>
      <c r="Q23" s="14">
        <v>45814</v>
      </c>
      <c r="R23" s="12">
        <v>10</v>
      </c>
      <c r="S23" s="4">
        <v>864</v>
      </c>
      <c r="T23" s="14">
        <v>45827</v>
      </c>
      <c r="U23" s="4" t="s">
        <v>22</v>
      </c>
      <c r="V23" s="13">
        <v>210</v>
      </c>
      <c r="W23" s="27">
        <v>45974</v>
      </c>
      <c r="X23" s="4" t="s">
        <v>231</v>
      </c>
      <c r="Y23" s="4" t="s">
        <v>292</v>
      </c>
      <c r="Z23" s="34" t="s">
        <v>460</v>
      </c>
      <c r="AA23" s="9">
        <v>1529000</v>
      </c>
      <c r="AB23" s="5">
        <v>45960</v>
      </c>
      <c r="AC23" s="4" t="s">
        <v>231</v>
      </c>
      <c r="AD23" s="4" t="s">
        <v>292</v>
      </c>
      <c r="AE23" s="34" t="s">
        <v>461</v>
      </c>
      <c r="AF23" s="9">
        <v>362000</v>
      </c>
      <c r="AG23" s="5">
        <v>45960</v>
      </c>
      <c r="AH23" s="4">
        <v>1538</v>
      </c>
      <c r="AI23" s="27">
        <v>45974</v>
      </c>
    </row>
    <row r="24" spans="1:35" ht="43.2" hidden="1" x14ac:dyDescent="0.3">
      <c r="A24" s="4" t="s">
        <v>22</v>
      </c>
      <c r="B24" s="4">
        <v>2</v>
      </c>
      <c r="C24" s="4">
        <v>5</v>
      </c>
      <c r="D24" s="6" t="s">
        <v>346</v>
      </c>
      <c r="E24" s="4" t="s">
        <v>3</v>
      </c>
      <c r="F24" s="4">
        <v>180814</v>
      </c>
      <c r="G24" s="5">
        <v>45778</v>
      </c>
      <c r="H24" s="5">
        <v>45789</v>
      </c>
      <c r="I24" s="5">
        <v>45790</v>
      </c>
      <c r="J24" s="7">
        <v>16879671.48</v>
      </c>
      <c r="K24" s="7">
        <v>14687002.15</v>
      </c>
      <c r="L24" s="8">
        <v>-12.99</v>
      </c>
      <c r="M24" s="4" t="s">
        <v>24</v>
      </c>
      <c r="N24" s="5">
        <v>45804</v>
      </c>
      <c r="O24" s="6" t="s">
        <v>18</v>
      </c>
      <c r="P24" s="15" t="s">
        <v>167</v>
      </c>
      <c r="Q24" s="14">
        <v>45810</v>
      </c>
      <c r="R24" s="12">
        <v>10</v>
      </c>
      <c r="S24" s="4">
        <v>865</v>
      </c>
      <c r="T24" s="14">
        <v>45827</v>
      </c>
      <c r="U24" s="4" t="s">
        <v>22</v>
      </c>
      <c r="V24" s="13">
        <v>72</v>
      </c>
      <c r="W24" s="27">
        <v>45877</v>
      </c>
      <c r="X24" s="4" t="s">
        <v>232</v>
      </c>
      <c r="Y24" s="4" t="s">
        <v>292</v>
      </c>
      <c r="Z24" s="34" t="s">
        <v>355</v>
      </c>
      <c r="AA24" s="9">
        <v>735000</v>
      </c>
      <c r="AB24" s="5">
        <v>45859</v>
      </c>
      <c r="AC24" s="4" t="s">
        <v>232</v>
      </c>
      <c r="AD24" s="4" t="s">
        <v>292</v>
      </c>
      <c r="AE24" s="34" t="s">
        <v>356</v>
      </c>
      <c r="AF24" s="9">
        <v>101000</v>
      </c>
      <c r="AG24" s="5">
        <v>45859</v>
      </c>
      <c r="AH24" s="4">
        <v>1050</v>
      </c>
      <c r="AI24" s="14">
        <v>45877</v>
      </c>
    </row>
    <row r="25" spans="1:35" ht="43.2" hidden="1" x14ac:dyDescent="0.3">
      <c r="A25" s="4" t="s">
        <v>22</v>
      </c>
      <c r="B25" s="4">
        <v>2</v>
      </c>
      <c r="C25" s="4">
        <v>8</v>
      </c>
      <c r="D25" s="6" t="s">
        <v>349</v>
      </c>
      <c r="E25" s="4" t="s">
        <v>3</v>
      </c>
      <c r="F25" s="4">
        <v>180651</v>
      </c>
      <c r="G25" s="5">
        <v>45778</v>
      </c>
      <c r="H25" s="5">
        <v>45789</v>
      </c>
      <c r="I25" s="5">
        <v>45790</v>
      </c>
      <c r="J25" s="7">
        <v>13577420.949999999</v>
      </c>
      <c r="K25" s="7">
        <v>9505552.4100000001</v>
      </c>
      <c r="L25" s="8">
        <v>-29.99</v>
      </c>
      <c r="M25" s="4" t="s">
        <v>143</v>
      </c>
      <c r="N25" s="5">
        <v>45804</v>
      </c>
      <c r="O25" s="6" t="s">
        <v>18</v>
      </c>
      <c r="P25" s="15" t="s">
        <v>164</v>
      </c>
      <c r="Q25" s="14">
        <v>45810</v>
      </c>
      <c r="R25" s="12">
        <v>6</v>
      </c>
      <c r="S25" s="4">
        <v>868</v>
      </c>
      <c r="T25" s="14">
        <v>45827</v>
      </c>
      <c r="U25" s="4" t="s">
        <v>22</v>
      </c>
      <c r="V25" s="13">
        <v>74</v>
      </c>
      <c r="W25" s="27">
        <v>45877</v>
      </c>
      <c r="X25" s="4" t="s">
        <v>231</v>
      </c>
      <c r="Y25" s="4" t="s">
        <v>292</v>
      </c>
      <c r="Z25" s="34" t="s">
        <v>367</v>
      </c>
      <c r="AA25" s="9">
        <v>476000</v>
      </c>
      <c r="AB25" s="5">
        <v>45869</v>
      </c>
      <c r="AC25" s="4" t="s">
        <v>231</v>
      </c>
      <c r="AD25" s="4" t="s">
        <v>292</v>
      </c>
      <c r="AE25" s="34" t="s">
        <v>368</v>
      </c>
      <c r="AF25" s="9">
        <v>815000</v>
      </c>
      <c r="AG25" s="11">
        <v>45863</v>
      </c>
      <c r="AH25" s="4">
        <v>1052</v>
      </c>
      <c r="AI25" s="14">
        <v>45877</v>
      </c>
    </row>
    <row r="26" spans="1:35" ht="43.2" hidden="1" x14ac:dyDescent="0.3">
      <c r="A26" s="4" t="s">
        <v>22</v>
      </c>
      <c r="B26" s="4">
        <v>2</v>
      </c>
      <c r="C26" s="4">
        <v>9</v>
      </c>
      <c r="D26" s="6" t="s">
        <v>386</v>
      </c>
      <c r="E26" s="4" t="s">
        <v>1</v>
      </c>
      <c r="F26" s="4">
        <v>180840</v>
      </c>
      <c r="G26" s="5">
        <v>45778</v>
      </c>
      <c r="H26" s="5">
        <v>45789</v>
      </c>
      <c r="I26" s="5">
        <v>45790</v>
      </c>
      <c r="J26" s="7">
        <v>15863200.939999999</v>
      </c>
      <c r="K26" s="7">
        <v>14078590.83</v>
      </c>
      <c r="L26" s="8">
        <v>-11.25</v>
      </c>
      <c r="M26" s="4" t="s">
        <v>144</v>
      </c>
      <c r="N26" s="5">
        <v>45804</v>
      </c>
      <c r="O26" s="6" t="s">
        <v>18</v>
      </c>
      <c r="P26" s="15" t="s">
        <v>163</v>
      </c>
      <c r="Q26" s="14">
        <v>45810</v>
      </c>
      <c r="R26" s="12">
        <v>8</v>
      </c>
      <c r="S26" s="4">
        <v>869</v>
      </c>
      <c r="T26" s="14">
        <v>45827</v>
      </c>
      <c r="U26" s="4" t="s">
        <v>22</v>
      </c>
      <c r="V26" s="13">
        <v>89</v>
      </c>
      <c r="W26" s="27">
        <v>45887</v>
      </c>
      <c r="X26" s="4" t="s">
        <v>231</v>
      </c>
      <c r="Y26" s="4" t="s">
        <v>241</v>
      </c>
      <c r="Z26" s="34">
        <v>44345147183</v>
      </c>
      <c r="AA26" s="9">
        <v>704000</v>
      </c>
      <c r="AB26" s="5">
        <v>45873</v>
      </c>
      <c r="AC26" s="4" t="s">
        <v>231</v>
      </c>
      <c r="AD26" s="4" t="s">
        <v>241</v>
      </c>
      <c r="AE26" s="34">
        <v>44345136001</v>
      </c>
      <c r="AF26" s="9">
        <v>40000</v>
      </c>
      <c r="AG26" s="5">
        <v>45873</v>
      </c>
      <c r="AH26" s="4">
        <v>1168</v>
      </c>
      <c r="AI26" s="14">
        <v>45887</v>
      </c>
    </row>
    <row r="27" spans="1:35" ht="43.2" hidden="1" x14ac:dyDescent="0.3">
      <c r="A27" s="4" t="s">
        <v>22</v>
      </c>
      <c r="B27" s="4">
        <v>2</v>
      </c>
      <c r="C27" s="4">
        <v>11</v>
      </c>
      <c r="D27" s="6" t="s">
        <v>350</v>
      </c>
      <c r="E27" s="4" t="s">
        <v>7</v>
      </c>
      <c r="F27" s="4">
        <v>180848</v>
      </c>
      <c r="G27" s="5">
        <v>45778</v>
      </c>
      <c r="H27" s="5">
        <v>45789</v>
      </c>
      <c r="I27" s="5">
        <v>45790</v>
      </c>
      <c r="J27" s="7">
        <v>44204292.450000003</v>
      </c>
      <c r="K27" s="7">
        <v>38842311.780000001</v>
      </c>
      <c r="L27" s="8">
        <v>-12.13</v>
      </c>
      <c r="M27" s="4" t="s">
        <v>146</v>
      </c>
      <c r="N27" s="5">
        <v>45804</v>
      </c>
      <c r="O27" s="25" t="s">
        <v>151</v>
      </c>
      <c r="P27" s="6" t="s">
        <v>188</v>
      </c>
      <c r="Q27" s="14">
        <v>45825</v>
      </c>
      <c r="R27" s="12">
        <v>10</v>
      </c>
      <c r="S27" s="4">
        <v>873</v>
      </c>
      <c r="T27" s="14">
        <v>45829</v>
      </c>
      <c r="U27" s="4" t="s">
        <v>22</v>
      </c>
      <c r="V27" s="13">
        <v>202</v>
      </c>
      <c r="W27" s="27">
        <v>45971</v>
      </c>
      <c r="X27" s="4" t="s">
        <v>231</v>
      </c>
      <c r="Y27" s="4" t="s">
        <v>398</v>
      </c>
      <c r="Z27" s="34" t="s">
        <v>444</v>
      </c>
      <c r="AA27" s="9">
        <v>1943000</v>
      </c>
      <c r="AB27" s="5">
        <v>45959</v>
      </c>
      <c r="AC27" s="4" t="s">
        <v>231</v>
      </c>
      <c r="AD27" s="4" t="s">
        <v>398</v>
      </c>
      <c r="AE27" s="34" t="s">
        <v>445</v>
      </c>
      <c r="AF27" s="9">
        <v>189000</v>
      </c>
      <c r="AG27" s="5">
        <v>45959</v>
      </c>
      <c r="AH27" s="4">
        <v>1510</v>
      </c>
      <c r="AI27" s="27">
        <v>45971</v>
      </c>
    </row>
    <row r="28" spans="1:35" ht="57.6" hidden="1" x14ac:dyDescent="0.3">
      <c r="A28" s="4" t="s">
        <v>22</v>
      </c>
      <c r="B28" s="4">
        <v>2</v>
      </c>
      <c r="C28" s="4">
        <v>12</v>
      </c>
      <c r="D28" s="6" t="s">
        <v>351</v>
      </c>
      <c r="E28" s="4" t="s">
        <v>0</v>
      </c>
      <c r="F28" s="4">
        <v>180705</v>
      </c>
      <c r="G28" s="5">
        <v>45778</v>
      </c>
      <c r="H28" s="5">
        <v>45789</v>
      </c>
      <c r="I28" s="5">
        <v>45790</v>
      </c>
      <c r="J28" s="7">
        <v>18127674.920000002</v>
      </c>
      <c r="K28" s="7">
        <v>16088311.49</v>
      </c>
      <c r="L28" s="8">
        <v>-11.25</v>
      </c>
      <c r="M28" s="4" t="s">
        <v>144</v>
      </c>
      <c r="N28" s="5">
        <v>45804</v>
      </c>
      <c r="O28" s="6" t="s">
        <v>18</v>
      </c>
      <c r="P28" s="15" t="s">
        <v>173</v>
      </c>
      <c r="Q28" s="14">
        <v>45810</v>
      </c>
      <c r="R28" s="12">
        <v>8</v>
      </c>
      <c r="S28" s="4">
        <v>874</v>
      </c>
      <c r="T28" s="14">
        <v>45829</v>
      </c>
      <c r="U28" s="4" t="s">
        <v>22</v>
      </c>
      <c r="V28" s="13">
        <v>63</v>
      </c>
      <c r="W28" s="27">
        <v>45857</v>
      </c>
      <c r="X28" s="4" t="s">
        <v>231</v>
      </c>
      <c r="Y28" s="4" t="s">
        <v>241</v>
      </c>
      <c r="Z28" s="34">
        <v>44288079123</v>
      </c>
      <c r="AA28" s="9">
        <v>805000</v>
      </c>
      <c r="AB28" s="5">
        <v>45855</v>
      </c>
      <c r="AC28" s="4" t="s">
        <v>231</v>
      </c>
      <c r="AD28" s="4" t="s">
        <v>241</v>
      </c>
      <c r="AE28" s="34">
        <v>44288012760</v>
      </c>
      <c r="AF28" s="9">
        <v>46000</v>
      </c>
      <c r="AG28" s="5">
        <v>45855</v>
      </c>
      <c r="AH28" s="4">
        <v>999</v>
      </c>
      <c r="AI28" s="14">
        <v>45917</v>
      </c>
    </row>
    <row r="29" spans="1:35" ht="43.2" hidden="1" x14ac:dyDescent="0.3">
      <c r="A29" s="4" t="s">
        <v>22</v>
      </c>
      <c r="B29" s="4">
        <v>2</v>
      </c>
      <c r="C29" s="4">
        <v>13</v>
      </c>
      <c r="D29" s="6" t="s">
        <v>216</v>
      </c>
      <c r="E29" s="4" t="s">
        <v>212</v>
      </c>
      <c r="F29" s="4">
        <v>180856</v>
      </c>
      <c r="G29" s="5">
        <v>45778</v>
      </c>
      <c r="H29" s="5">
        <v>45789</v>
      </c>
      <c r="I29" s="5">
        <v>45790</v>
      </c>
      <c r="J29" s="7">
        <v>15081719.609999999</v>
      </c>
      <c r="K29" s="7">
        <v>13271913.26</v>
      </c>
      <c r="L29" s="8">
        <v>-12</v>
      </c>
      <c r="M29" s="4" t="s">
        <v>24</v>
      </c>
      <c r="N29" s="5">
        <v>45804</v>
      </c>
      <c r="O29" s="6" t="s">
        <v>18</v>
      </c>
      <c r="P29" s="15" t="s">
        <v>168</v>
      </c>
      <c r="Q29" s="14">
        <v>45810</v>
      </c>
      <c r="R29" s="12">
        <v>8</v>
      </c>
      <c r="S29" s="4">
        <v>875</v>
      </c>
      <c r="T29" s="14">
        <v>45829</v>
      </c>
      <c r="U29" s="4" t="s">
        <v>22</v>
      </c>
      <c r="V29" s="13">
        <v>65</v>
      </c>
      <c r="W29" s="27">
        <v>45871</v>
      </c>
      <c r="X29" s="4" t="s">
        <v>232</v>
      </c>
      <c r="Y29" s="4" t="s">
        <v>292</v>
      </c>
      <c r="Z29" s="34" t="s">
        <v>307</v>
      </c>
      <c r="AA29" s="9">
        <v>664000</v>
      </c>
      <c r="AB29" s="5">
        <v>45859</v>
      </c>
      <c r="AC29" s="4" t="s">
        <v>232</v>
      </c>
      <c r="AD29" s="4" t="s">
        <v>292</v>
      </c>
      <c r="AE29" s="34" t="s">
        <v>308</v>
      </c>
      <c r="AF29" s="9">
        <v>61000</v>
      </c>
      <c r="AG29" s="5">
        <v>45859</v>
      </c>
      <c r="AH29" s="4">
        <v>1057</v>
      </c>
      <c r="AI29" s="14">
        <v>45871</v>
      </c>
    </row>
    <row r="30" spans="1:35" ht="43.2" hidden="1" x14ac:dyDescent="0.3">
      <c r="A30" s="4" t="s">
        <v>22</v>
      </c>
      <c r="B30" s="4">
        <v>2</v>
      </c>
      <c r="C30" s="4">
        <v>15</v>
      </c>
      <c r="D30" s="6" t="s">
        <v>215</v>
      </c>
      <c r="E30" s="4" t="s">
        <v>6</v>
      </c>
      <c r="F30" s="4">
        <v>180728</v>
      </c>
      <c r="G30" s="5">
        <v>45778</v>
      </c>
      <c r="H30" s="5">
        <v>45789</v>
      </c>
      <c r="I30" s="5">
        <v>45790</v>
      </c>
      <c r="J30" s="7">
        <v>5574164.5300000003</v>
      </c>
      <c r="K30" s="7">
        <v>6187322.6299999999</v>
      </c>
      <c r="L30" s="8">
        <v>11</v>
      </c>
      <c r="M30" s="4" t="s">
        <v>12</v>
      </c>
      <c r="N30" s="5">
        <v>45804</v>
      </c>
      <c r="O30" s="6" t="s">
        <v>18</v>
      </c>
      <c r="P30" s="15" t="s">
        <v>214</v>
      </c>
      <c r="Q30" s="14">
        <v>45818</v>
      </c>
      <c r="R30" s="12">
        <v>4</v>
      </c>
      <c r="S30" s="4">
        <v>876</v>
      </c>
      <c r="T30" s="14">
        <v>45829</v>
      </c>
      <c r="U30" s="4" t="s">
        <v>22</v>
      </c>
      <c r="V30" s="13">
        <v>238</v>
      </c>
      <c r="W30" s="27">
        <v>46004</v>
      </c>
      <c r="X30" s="4" t="s">
        <v>232</v>
      </c>
      <c r="Y30" s="4" t="s">
        <v>366</v>
      </c>
      <c r="Z30" s="34" t="s">
        <v>488</v>
      </c>
      <c r="AA30" s="9">
        <v>310000</v>
      </c>
      <c r="AB30" s="5">
        <v>45971</v>
      </c>
      <c r="AC30" s="11"/>
      <c r="AD30" s="11"/>
      <c r="AF30" s="9"/>
      <c r="AG30" s="11"/>
      <c r="AH30" s="4">
        <v>1704</v>
      </c>
      <c r="AI30" s="14">
        <v>46004</v>
      </c>
    </row>
    <row r="31" spans="1:35" ht="43.2" hidden="1" x14ac:dyDescent="0.3">
      <c r="A31" s="4" t="s">
        <v>22</v>
      </c>
      <c r="B31" s="4">
        <v>2</v>
      </c>
      <c r="C31" s="4">
        <v>16</v>
      </c>
      <c r="D31" s="6" t="s">
        <v>217</v>
      </c>
      <c r="E31" s="4" t="s">
        <v>6</v>
      </c>
      <c r="F31" s="4">
        <v>180660</v>
      </c>
      <c r="G31" s="5">
        <v>45778</v>
      </c>
      <c r="H31" s="5">
        <v>45789</v>
      </c>
      <c r="I31" s="5">
        <v>45790</v>
      </c>
      <c r="J31" s="7">
        <v>15230378.720000001</v>
      </c>
      <c r="K31" s="7">
        <v>10662788.140000001</v>
      </c>
      <c r="L31" s="8">
        <v>-29.99</v>
      </c>
      <c r="M31" s="4" t="s">
        <v>147</v>
      </c>
      <c r="N31" s="5">
        <v>45804</v>
      </c>
      <c r="O31" s="6" t="s">
        <v>18</v>
      </c>
      <c r="P31" s="15" t="s">
        <v>165</v>
      </c>
      <c r="Q31" s="14">
        <v>45810</v>
      </c>
      <c r="R31" s="12">
        <v>10</v>
      </c>
      <c r="S31" s="4">
        <v>879</v>
      </c>
      <c r="T31" s="14">
        <v>45829</v>
      </c>
      <c r="U31" s="4" t="s">
        <v>22</v>
      </c>
      <c r="V31" s="13">
        <v>147</v>
      </c>
      <c r="W31" s="27">
        <v>45910</v>
      </c>
      <c r="X31" s="4" t="s">
        <v>231</v>
      </c>
      <c r="Y31" s="4" t="s">
        <v>292</v>
      </c>
      <c r="Z31" s="34" t="s">
        <v>396</v>
      </c>
      <c r="AA31" s="9">
        <v>534000</v>
      </c>
      <c r="AB31" s="5">
        <v>45889</v>
      </c>
      <c r="AC31" s="4" t="s">
        <v>231</v>
      </c>
      <c r="AD31" s="4" t="s">
        <v>292</v>
      </c>
      <c r="AE31" s="34" t="s">
        <v>397</v>
      </c>
      <c r="AF31" s="9">
        <v>914000</v>
      </c>
      <c r="AG31" s="5">
        <v>45889</v>
      </c>
      <c r="AH31" s="4">
        <v>1291</v>
      </c>
      <c r="AI31" s="14">
        <v>45910</v>
      </c>
    </row>
    <row r="32" spans="1:35" ht="57.6" x14ac:dyDescent="0.3">
      <c r="A32" s="4" t="s">
        <v>22</v>
      </c>
      <c r="B32" s="4">
        <v>2</v>
      </c>
      <c r="C32" s="4">
        <v>17</v>
      </c>
      <c r="D32" s="6" t="s">
        <v>29</v>
      </c>
      <c r="E32" s="4" t="s">
        <v>6</v>
      </c>
      <c r="F32" s="4">
        <v>180666</v>
      </c>
      <c r="G32" s="5">
        <v>45778</v>
      </c>
      <c r="H32" s="5">
        <v>45789</v>
      </c>
      <c r="I32" s="5">
        <v>45790</v>
      </c>
      <c r="J32" s="7">
        <v>11706821.6</v>
      </c>
      <c r="K32" s="7">
        <v>8624415.4700000007</v>
      </c>
      <c r="L32" s="8">
        <v>-26.33</v>
      </c>
      <c r="M32" s="4" t="s">
        <v>148</v>
      </c>
      <c r="N32" s="5">
        <v>45804</v>
      </c>
      <c r="O32" s="6" t="s">
        <v>18</v>
      </c>
      <c r="P32" s="15" t="s">
        <v>162</v>
      </c>
      <c r="Q32" s="14">
        <v>45810</v>
      </c>
      <c r="R32" s="12">
        <v>8</v>
      </c>
      <c r="S32" s="4">
        <v>877</v>
      </c>
      <c r="T32" s="14">
        <v>45829</v>
      </c>
      <c r="U32" s="4"/>
      <c r="V32" s="13"/>
      <c r="W32" s="14" t="s">
        <v>521</v>
      </c>
      <c r="X32" s="4"/>
      <c r="Y32" s="4"/>
      <c r="AA32" s="9"/>
      <c r="AB32" s="5"/>
      <c r="AC32" s="11"/>
      <c r="AD32" s="11"/>
      <c r="AF32" s="9"/>
      <c r="AG32" s="11"/>
      <c r="AH32" s="4"/>
      <c r="AI32" s="14" t="s">
        <v>521</v>
      </c>
    </row>
    <row r="33" spans="1:35" ht="57.6" hidden="1" x14ac:dyDescent="0.3">
      <c r="A33" s="4" t="s">
        <v>22</v>
      </c>
      <c r="B33" s="4">
        <v>2</v>
      </c>
      <c r="C33" s="4">
        <v>18</v>
      </c>
      <c r="D33" s="6" t="s">
        <v>352</v>
      </c>
      <c r="E33" s="4" t="s">
        <v>5</v>
      </c>
      <c r="F33" s="4">
        <v>180679</v>
      </c>
      <c r="G33" s="5">
        <v>45778</v>
      </c>
      <c r="H33" s="5">
        <v>45789</v>
      </c>
      <c r="I33" s="5">
        <v>45790</v>
      </c>
      <c r="J33" s="7">
        <v>24576686.510000002</v>
      </c>
      <c r="K33" s="7">
        <v>18427599.550000001</v>
      </c>
      <c r="L33" s="8">
        <v>-25.02</v>
      </c>
      <c r="M33" s="4" t="s">
        <v>140</v>
      </c>
      <c r="N33" s="5">
        <v>45804</v>
      </c>
      <c r="O33" s="25" t="s">
        <v>151</v>
      </c>
      <c r="P33" s="6" t="s">
        <v>186</v>
      </c>
      <c r="Q33" s="14">
        <v>45813</v>
      </c>
      <c r="R33" s="12">
        <v>8</v>
      </c>
      <c r="S33" s="4">
        <v>878</v>
      </c>
      <c r="T33" s="14">
        <v>45829</v>
      </c>
      <c r="U33" s="4" t="s">
        <v>22</v>
      </c>
      <c r="V33" s="13">
        <v>211</v>
      </c>
      <c r="W33" s="27">
        <v>45974</v>
      </c>
      <c r="X33" s="4" t="s">
        <v>231</v>
      </c>
      <c r="Y33" s="4" t="s">
        <v>292</v>
      </c>
      <c r="Z33" s="34" t="s">
        <v>462</v>
      </c>
      <c r="AA33" s="9">
        <v>922000</v>
      </c>
      <c r="AB33" s="5">
        <v>45960</v>
      </c>
      <c r="AC33" s="4" t="s">
        <v>231</v>
      </c>
      <c r="AD33" s="4" t="s">
        <v>292</v>
      </c>
      <c r="AE33" s="34" t="s">
        <v>463</v>
      </c>
      <c r="AF33" s="9">
        <v>1108000</v>
      </c>
      <c r="AG33" s="5">
        <v>45960</v>
      </c>
      <c r="AH33" s="4">
        <v>1539</v>
      </c>
      <c r="AI33" s="27">
        <v>45974</v>
      </c>
    </row>
    <row r="34" spans="1:35" ht="57.6" hidden="1" x14ac:dyDescent="0.3">
      <c r="A34" s="4" t="s">
        <v>22</v>
      </c>
      <c r="B34" s="4">
        <v>2</v>
      </c>
      <c r="C34" s="4">
        <v>19</v>
      </c>
      <c r="D34" s="6" t="s">
        <v>353</v>
      </c>
      <c r="E34" s="4" t="s">
        <v>2</v>
      </c>
      <c r="F34" s="4">
        <v>180696</v>
      </c>
      <c r="G34" s="5">
        <v>45778</v>
      </c>
      <c r="H34" s="5">
        <v>45789</v>
      </c>
      <c r="I34" s="5">
        <v>45790</v>
      </c>
      <c r="J34" s="7">
        <v>9144415.4199999999</v>
      </c>
      <c r="K34" s="7">
        <v>6126758.3300000001</v>
      </c>
      <c r="L34" s="8">
        <v>-33</v>
      </c>
      <c r="M34" s="4" t="s">
        <v>9</v>
      </c>
      <c r="N34" s="5">
        <v>45804</v>
      </c>
      <c r="O34" s="6" t="s">
        <v>18</v>
      </c>
      <c r="P34" s="15" t="s">
        <v>172</v>
      </c>
      <c r="Q34" s="14">
        <v>45810</v>
      </c>
      <c r="R34" s="12">
        <v>4</v>
      </c>
      <c r="S34" s="4">
        <v>880</v>
      </c>
      <c r="T34" s="14">
        <v>45829</v>
      </c>
      <c r="U34" s="4" t="s">
        <v>22</v>
      </c>
      <c r="V34" s="13">
        <v>323</v>
      </c>
      <c r="W34" s="27">
        <v>46083</v>
      </c>
      <c r="X34" s="4" t="s">
        <v>231</v>
      </c>
      <c r="Y34" s="4" t="s">
        <v>439</v>
      </c>
      <c r="Z34" s="34" t="s">
        <v>566</v>
      </c>
      <c r="AA34" s="9">
        <v>307000</v>
      </c>
      <c r="AB34" s="5">
        <v>46080</v>
      </c>
      <c r="AC34" s="4" t="s">
        <v>231</v>
      </c>
      <c r="AD34" s="4" t="s">
        <v>439</v>
      </c>
      <c r="AE34" s="34" t="s">
        <v>567</v>
      </c>
      <c r="AF34" s="9">
        <v>631000</v>
      </c>
      <c r="AG34" s="5">
        <v>46080</v>
      </c>
      <c r="AH34" s="4">
        <v>327</v>
      </c>
      <c r="AI34" s="27">
        <v>46083</v>
      </c>
    </row>
    <row r="35" spans="1:35" ht="57.6" hidden="1" x14ac:dyDescent="0.3">
      <c r="A35" s="4" t="s">
        <v>22</v>
      </c>
      <c r="B35" s="4">
        <v>9</v>
      </c>
      <c r="C35" s="4">
        <v>1</v>
      </c>
      <c r="D35" s="6" t="s">
        <v>242</v>
      </c>
      <c r="E35" s="4" t="s">
        <v>6</v>
      </c>
      <c r="F35" s="4">
        <v>199597</v>
      </c>
      <c r="G35" s="5">
        <v>45841</v>
      </c>
      <c r="H35" s="5">
        <v>45852</v>
      </c>
      <c r="I35" s="5">
        <v>45853</v>
      </c>
      <c r="J35" s="7">
        <v>16081866.5</v>
      </c>
      <c r="K35" s="7">
        <v>18116222.609999999</v>
      </c>
      <c r="L35" s="8">
        <v>12.65</v>
      </c>
      <c r="M35" s="4" t="s">
        <v>244</v>
      </c>
      <c r="N35" s="5">
        <v>45863</v>
      </c>
      <c r="O35" s="6" t="s">
        <v>18</v>
      </c>
      <c r="P35" s="15" t="s">
        <v>390</v>
      </c>
      <c r="Q35" s="14">
        <v>45890</v>
      </c>
      <c r="R35" s="12">
        <v>6</v>
      </c>
      <c r="S35" s="4">
        <v>1263</v>
      </c>
      <c r="T35" s="14">
        <v>45904</v>
      </c>
      <c r="U35" s="4" t="s">
        <v>22</v>
      </c>
      <c r="V35" s="13">
        <v>199</v>
      </c>
      <c r="W35" s="27">
        <v>45969</v>
      </c>
      <c r="X35" s="4" t="s">
        <v>232</v>
      </c>
      <c r="Y35" s="4" t="s">
        <v>292</v>
      </c>
      <c r="Z35" s="34" t="s">
        <v>443</v>
      </c>
      <c r="AA35" s="9">
        <v>906000</v>
      </c>
      <c r="AB35" s="5">
        <v>45920</v>
      </c>
      <c r="AC35" s="11"/>
      <c r="AD35" s="11"/>
      <c r="AF35" s="9"/>
      <c r="AG35" s="11"/>
      <c r="AH35" s="4">
        <v>1504</v>
      </c>
      <c r="AI35" s="14">
        <v>45969</v>
      </c>
    </row>
    <row r="36" spans="1:35" ht="43.2" hidden="1" x14ac:dyDescent="0.3">
      <c r="A36" s="4" t="s">
        <v>22</v>
      </c>
      <c r="B36" s="4">
        <v>9</v>
      </c>
      <c r="C36" s="4">
        <v>2</v>
      </c>
      <c r="D36" s="6" t="s">
        <v>518</v>
      </c>
      <c r="E36" s="4" t="s">
        <v>7</v>
      </c>
      <c r="F36" s="4">
        <v>201032</v>
      </c>
      <c r="G36" s="5">
        <v>45841</v>
      </c>
      <c r="H36" s="5">
        <v>45852</v>
      </c>
      <c r="I36" s="5">
        <v>45853</v>
      </c>
      <c r="J36" s="7">
        <v>112916877.26000001</v>
      </c>
      <c r="K36" s="7">
        <v>94929218.709999993</v>
      </c>
      <c r="L36" s="8">
        <v>-15.93</v>
      </c>
      <c r="M36" s="4" t="s">
        <v>104</v>
      </c>
      <c r="N36" s="5">
        <v>45873</v>
      </c>
      <c r="O36" s="6" t="s">
        <v>151</v>
      </c>
      <c r="P36" s="6" t="s">
        <v>394</v>
      </c>
      <c r="Q36" s="14">
        <v>45903</v>
      </c>
      <c r="R36" s="12">
        <v>11</v>
      </c>
      <c r="S36" s="4">
        <v>1258</v>
      </c>
      <c r="T36" s="14">
        <v>45903</v>
      </c>
      <c r="U36" s="4" t="s">
        <v>22</v>
      </c>
      <c r="V36" s="13">
        <v>258</v>
      </c>
      <c r="W36" s="38">
        <v>46029</v>
      </c>
      <c r="X36" s="4" t="s">
        <v>232</v>
      </c>
      <c r="Y36" s="4" t="s">
        <v>292</v>
      </c>
      <c r="Z36" s="34" t="s">
        <v>519</v>
      </c>
      <c r="AA36" s="9">
        <v>4747000</v>
      </c>
      <c r="AB36" s="5">
        <v>45979</v>
      </c>
      <c r="AC36" s="4" t="s">
        <v>232</v>
      </c>
      <c r="AD36" s="4" t="s">
        <v>292</v>
      </c>
      <c r="AE36" s="34" t="s">
        <v>520</v>
      </c>
      <c r="AF36" s="9">
        <v>1340000</v>
      </c>
      <c r="AG36" s="5">
        <v>46334</v>
      </c>
      <c r="AH36" s="4">
        <v>35</v>
      </c>
      <c r="AI36" s="14">
        <v>46031</v>
      </c>
    </row>
    <row r="37" spans="1:35" ht="86.4" hidden="1" x14ac:dyDescent="0.3">
      <c r="A37" s="4" t="s">
        <v>22</v>
      </c>
      <c r="B37" s="4">
        <v>9</v>
      </c>
      <c r="C37" s="4">
        <v>3</v>
      </c>
      <c r="D37" s="6" t="s">
        <v>243</v>
      </c>
      <c r="E37" s="4" t="s">
        <v>0</v>
      </c>
      <c r="F37" s="4">
        <v>200884</v>
      </c>
      <c r="G37" s="5">
        <v>45841</v>
      </c>
      <c r="H37" s="5">
        <v>45852</v>
      </c>
      <c r="I37" s="5">
        <v>45853</v>
      </c>
      <c r="J37" s="7">
        <v>63362712.479999997</v>
      </c>
      <c r="K37" s="7">
        <v>53668217.469999999</v>
      </c>
      <c r="L37" s="8">
        <v>-15.3</v>
      </c>
      <c r="M37" s="4" t="s">
        <v>144</v>
      </c>
      <c r="N37" s="5">
        <v>45863</v>
      </c>
      <c r="O37" s="6" t="s">
        <v>151</v>
      </c>
      <c r="P37" s="6" t="s">
        <v>411</v>
      </c>
      <c r="Q37" s="14">
        <v>45901</v>
      </c>
      <c r="R37" s="12">
        <v>11</v>
      </c>
      <c r="S37" s="4">
        <v>1353</v>
      </c>
      <c r="T37" s="14">
        <v>45922</v>
      </c>
      <c r="U37" s="4" t="s">
        <v>22</v>
      </c>
      <c r="V37" s="13">
        <v>319</v>
      </c>
      <c r="W37" s="27">
        <v>46074</v>
      </c>
      <c r="X37" s="4" t="s">
        <v>231</v>
      </c>
      <c r="Y37" s="4" t="s">
        <v>558</v>
      </c>
      <c r="Z37" s="34" t="s">
        <v>559</v>
      </c>
      <c r="AA37" s="9">
        <v>2684000</v>
      </c>
      <c r="AB37" s="5">
        <v>46074</v>
      </c>
      <c r="AC37" s="4" t="s">
        <v>231</v>
      </c>
      <c r="AD37" s="4" t="s">
        <v>558</v>
      </c>
      <c r="AE37" s="34" t="s">
        <v>560</v>
      </c>
      <c r="AF37" s="9">
        <v>672000</v>
      </c>
      <c r="AG37" s="5">
        <v>46074</v>
      </c>
      <c r="AH37" s="4">
        <v>292</v>
      </c>
      <c r="AI37" s="14">
        <v>46074</v>
      </c>
    </row>
    <row r="38" spans="1:35" ht="43.2" hidden="1" x14ac:dyDescent="0.3">
      <c r="A38" s="4" t="s">
        <v>22</v>
      </c>
      <c r="B38" s="4">
        <v>9</v>
      </c>
      <c r="C38" s="4">
        <v>4</v>
      </c>
      <c r="D38" s="6" t="s">
        <v>245</v>
      </c>
      <c r="E38" s="4" t="s">
        <v>0</v>
      </c>
      <c r="F38" s="4">
        <v>200894</v>
      </c>
      <c r="G38" s="5">
        <v>45841</v>
      </c>
      <c r="H38" s="5">
        <v>45852</v>
      </c>
      <c r="I38" s="5">
        <v>45853</v>
      </c>
      <c r="J38" s="7">
        <v>12069061.77</v>
      </c>
      <c r="K38" s="7">
        <v>8932312.6199999992</v>
      </c>
      <c r="L38" s="8">
        <v>-25.99</v>
      </c>
      <c r="M38" s="4" t="s">
        <v>143</v>
      </c>
      <c r="N38" s="5">
        <v>45863</v>
      </c>
      <c r="O38" s="6" t="s">
        <v>18</v>
      </c>
      <c r="P38" s="15" t="s">
        <v>364</v>
      </c>
      <c r="Q38" s="14">
        <v>45877</v>
      </c>
      <c r="R38" s="12">
        <v>6</v>
      </c>
      <c r="S38" s="4">
        <v>1257</v>
      </c>
      <c r="T38" s="14">
        <v>45903</v>
      </c>
      <c r="U38" s="4" t="s">
        <v>22</v>
      </c>
      <c r="V38" s="13">
        <v>203</v>
      </c>
      <c r="W38" s="27">
        <v>45974</v>
      </c>
      <c r="X38" s="4" t="s">
        <v>231</v>
      </c>
      <c r="Y38" s="4" t="s">
        <v>292</v>
      </c>
      <c r="Z38" s="34" t="s">
        <v>457</v>
      </c>
      <c r="AA38" s="9">
        <v>447000</v>
      </c>
      <c r="AB38" s="5">
        <v>45964</v>
      </c>
      <c r="AC38" s="4" t="s">
        <v>231</v>
      </c>
      <c r="AD38" s="4" t="s">
        <v>292</v>
      </c>
      <c r="AE38" s="34" t="s">
        <v>458</v>
      </c>
      <c r="AF38" s="9">
        <v>579000</v>
      </c>
      <c r="AG38" s="5">
        <v>45964</v>
      </c>
      <c r="AH38" s="4">
        <v>1525</v>
      </c>
      <c r="AI38" s="14">
        <v>45974</v>
      </c>
    </row>
    <row r="39" spans="1:35" ht="43.2" hidden="1" x14ac:dyDescent="0.3">
      <c r="A39" s="4" t="s">
        <v>22</v>
      </c>
      <c r="B39" s="4">
        <v>9</v>
      </c>
      <c r="C39" s="4">
        <v>5</v>
      </c>
      <c r="D39" s="6" t="s">
        <v>251</v>
      </c>
      <c r="E39" s="4" t="s">
        <v>7</v>
      </c>
      <c r="F39" s="4">
        <v>199598</v>
      </c>
      <c r="G39" s="5">
        <v>45841</v>
      </c>
      <c r="H39" s="5">
        <v>45852</v>
      </c>
      <c r="I39" s="5">
        <v>45853</v>
      </c>
      <c r="J39" s="7">
        <v>31383339.899999999</v>
      </c>
      <c r="K39" s="7">
        <v>25288695.289999999</v>
      </c>
      <c r="L39" s="8">
        <v>-19.420000000000002</v>
      </c>
      <c r="M39" s="4" t="s">
        <v>76</v>
      </c>
      <c r="N39" s="5">
        <v>45863</v>
      </c>
      <c r="O39" s="25" t="s">
        <v>151</v>
      </c>
      <c r="P39" s="6" t="s">
        <v>391</v>
      </c>
      <c r="Q39" s="14">
        <v>45887</v>
      </c>
      <c r="R39" s="12">
        <v>10</v>
      </c>
      <c r="S39" s="4">
        <v>1262</v>
      </c>
      <c r="T39" s="14">
        <v>45904</v>
      </c>
      <c r="U39" s="4" t="s">
        <v>22</v>
      </c>
      <c r="V39" s="13">
        <v>320</v>
      </c>
      <c r="W39" s="27">
        <v>46083</v>
      </c>
      <c r="X39" s="4" t="s">
        <v>232</v>
      </c>
      <c r="Y39" s="4" t="s">
        <v>558</v>
      </c>
      <c r="Z39" s="34" t="s">
        <v>562</v>
      </c>
      <c r="AA39" s="9">
        <v>1265000</v>
      </c>
      <c r="AB39" s="5">
        <v>46024</v>
      </c>
      <c r="AC39" s="4" t="s">
        <v>232</v>
      </c>
      <c r="AD39" s="4" t="s">
        <v>558</v>
      </c>
      <c r="AE39" s="10" t="s">
        <v>563</v>
      </c>
      <c r="AF39" s="9">
        <v>592000</v>
      </c>
      <c r="AG39" s="5">
        <v>46025</v>
      </c>
      <c r="AH39" s="4">
        <v>324</v>
      </c>
      <c r="AI39" s="14">
        <v>46083</v>
      </c>
    </row>
    <row r="40" spans="1:35" ht="43.2" hidden="1" x14ac:dyDescent="0.3">
      <c r="A40" s="4" t="s">
        <v>22</v>
      </c>
      <c r="B40" s="4">
        <v>9</v>
      </c>
      <c r="C40" s="4">
        <v>7</v>
      </c>
      <c r="D40" s="6" t="s">
        <v>250</v>
      </c>
      <c r="E40" s="4" t="s">
        <v>7</v>
      </c>
      <c r="F40" s="4">
        <v>199600</v>
      </c>
      <c r="G40" s="5">
        <v>45841</v>
      </c>
      <c r="H40" s="5">
        <v>45852</v>
      </c>
      <c r="I40" s="5">
        <v>45853</v>
      </c>
      <c r="J40" s="7">
        <v>21473015.379999999</v>
      </c>
      <c r="K40" s="7">
        <v>18786741.16</v>
      </c>
      <c r="L40" s="8">
        <v>-12.51</v>
      </c>
      <c r="M40" s="4" t="s">
        <v>144</v>
      </c>
      <c r="N40" s="5">
        <v>45863</v>
      </c>
      <c r="O40" s="25" t="s">
        <v>151</v>
      </c>
      <c r="P40" s="6" t="s">
        <v>392</v>
      </c>
      <c r="Q40" s="14">
        <v>45887</v>
      </c>
      <c r="R40" s="12">
        <v>8</v>
      </c>
      <c r="S40" s="4">
        <v>1261</v>
      </c>
      <c r="T40" s="14">
        <v>45904</v>
      </c>
      <c r="U40" s="4" t="s">
        <v>22</v>
      </c>
      <c r="V40" s="13">
        <v>301</v>
      </c>
      <c r="W40" s="27">
        <v>46056</v>
      </c>
      <c r="X40" s="4" t="s">
        <v>231</v>
      </c>
      <c r="Y40" s="4" t="s">
        <v>241</v>
      </c>
      <c r="Z40" s="34">
        <v>44881780125</v>
      </c>
      <c r="AA40" s="9">
        <v>940000</v>
      </c>
      <c r="AB40" s="5">
        <v>46055</v>
      </c>
      <c r="AC40" s="4" t="s">
        <v>231</v>
      </c>
      <c r="AD40" s="4" t="s">
        <v>241</v>
      </c>
      <c r="AE40" s="34">
        <v>44881568631</v>
      </c>
      <c r="AF40" s="9">
        <v>108000</v>
      </c>
      <c r="AG40" s="5">
        <v>46055</v>
      </c>
      <c r="AH40" s="4">
        <v>123</v>
      </c>
      <c r="AI40" s="14">
        <v>46056</v>
      </c>
    </row>
    <row r="41" spans="1:35" ht="43.2" hidden="1" x14ac:dyDescent="0.3">
      <c r="A41" s="4" t="s">
        <v>22</v>
      </c>
      <c r="B41" s="4">
        <v>9</v>
      </c>
      <c r="C41" s="4">
        <v>10</v>
      </c>
      <c r="D41" s="6" t="s">
        <v>249</v>
      </c>
      <c r="E41" s="4" t="s">
        <v>175</v>
      </c>
      <c r="F41" s="4">
        <v>199603</v>
      </c>
      <c r="G41" s="5">
        <v>45841</v>
      </c>
      <c r="H41" s="5">
        <v>45852</v>
      </c>
      <c r="I41" s="5">
        <v>45853</v>
      </c>
      <c r="J41" s="7">
        <v>41947449.920000002</v>
      </c>
      <c r="K41" s="7">
        <v>33864176.32</v>
      </c>
      <c r="L41" s="8">
        <v>-19.27</v>
      </c>
      <c r="M41" s="4" t="s">
        <v>12</v>
      </c>
      <c r="N41" s="5">
        <v>45863</v>
      </c>
      <c r="O41" s="6" t="s">
        <v>151</v>
      </c>
      <c r="P41" s="6" t="s">
        <v>412</v>
      </c>
      <c r="Q41" s="14">
        <v>45901</v>
      </c>
      <c r="R41" s="12">
        <v>10</v>
      </c>
      <c r="S41" s="4">
        <v>1354</v>
      </c>
      <c r="T41" s="14">
        <v>45922</v>
      </c>
      <c r="U41" s="4" t="s">
        <v>22</v>
      </c>
      <c r="V41" s="13">
        <v>263</v>
      </c>
      <c r="W41" s="27">
        <v>46037</v>
      </c>
      <c r="X41" s="4" t="s">
        <v>232</v>
      </c>
      <c r="Y41" s="4" t="s">
        <v>366</v>
      </c>
      <c r="Z41" s="34" t="s">
        <v>530</v>
      </c>
      <c r="AA41" s="9">
        <v>1694000</v>
      </c>
      <c r="AB41" s="5">
        <v>46017</v>
      </c>
      <c r="AC41" s="4" t="s">
        <v>232</v>
      </c>
      <c r="AD41" s="4" t="s">
        <v>366</v>
      </c>
      <c r="AE41" s="34" t="s">
        <v>531</v>
      </c>
      <c r="AF41" s="9">
        <v>778000</v>
      </c>
      <c r="AG41" s="5">
        <v>46017</v>
      </c>
      <c r="AH41" s="4">
        <v>47</v>
      </c>
      <c r="AI41" s="14">
        <v>46037</v>
      </c>
    </row>
    <row r="42" spans="1:35" ht="43.2" hidden="1" x14ac:dyDescent="0.3">
      <c r="A42" s="4" t="s">
        <v>22</v>
      </c>
      <c r="B42" s="4">
        <v>9</v>
      </c>
      <c r="C42" s="4">
        <v>11</v>
      </c>
      <c r="D42" s="6" t="s">
        <v>248</v>
      </c>
      <c r="E42" s="4" t="s">
        <v>6</v>
      </c>
      <c r="F42" s="4">
        <v>199604</v>
      </c>
      <c r="G42" s="5">
        <v>45841</v>
      </c>
      <c r="H42" s="5">
        <v>45852</v>
      </c>
      <c r="I42" s="5">
        <v>45853</v>
      </c>
      <c r="J42" s="7">
        <v>10473002.869999999</v>
      </c>
      <c r="K42" s="7">
        <v>11075200.539999999</v>
      </c>
      <c r="L42" s="8">
        <v>5.75</v>
      </c>
      <c r="M42" s="4" t="s">
        <v>12</v>
      </c>
      <c r="N42" s="5">
        <v>45863</v>
      </c>
      <c r="O42" s="6" t="s">
        <v>18</v>
      </c>
      <c r="P42" s="15" t="s">
        <v>365</v>
      </c>
      <c r="Q42" s="14">
        <v>45877</v>
      </c>
      <c r="R42" s="12">
        <v>6</v>
      </c>
      <c r="S42" s="4">
        <v>1254</v>
      </c>
      <c r="T42" s="14">
        <v>45903</v>
      </c>
      <c r="U42" s="4" t="s">
        <v>22</v>
      </c>
      <c r="V42" s="13">
        <v>245</v>
      </c>
      <c r="W42" s="27">
        <v>46014</v>
      </c>
      <c r="X42" s="4" t="s">
        <v>232</v>
      </c>
      <c r="Y42" s="4" t="s">
        <v>366</v>
      </c>
      <c r="Z42" s="34" t="s">
        <v>494</v>
      </c>
      <c r="AA42" s="9">
        <v>554000</v>
      </c>
      <c r="AB42" s="5">
        <v>46011</v>
      </c>
      <c r="AC42" s="11"/>
      <c r="AD42" s="11"/>
      <c r="AF42" s="9"/>
      <c r="AG42" s="11"/>
      <c r="AH42" s="4">
        <v>1789</v>
      </c>
      <c r="AI42" s="14">
        <v>46014</v>
      </c>
    </row>
    <row r="43" spans="1:35" ht="57.6" hidden="1" x14ac:dyDescent="0.3">
      <c r="A43" s="4" t="s">
        <v>22</v>
      </c>
      <c r="B43" s="4">
        <v>9</v>
      </c>
      <c r="C43" s="4">
        <v>12</v>
      </c>
      <c r="D43" s="6" t="s">
        <v>247</v>
      </c>
      <c r="E43" s="4" t="s">
        <v>175</v>
      </c>
      <c r="F43" s="4">
        <v>199605</v>
      </c>
      <c r="G43" s="5">
        <v>45841</v>
      </c>
      <c r="H43" s="5">
        <v>45852</v>
      </c>
      <c r="I43" s="5">
        <v>45853</v>
      </c>
      <c r="J43" s="7">
        <v>27666802.899999999</v>
      </c>
      <c r="K43" s="7">
        <v>21884441.09</v>
      </c>
      <c r="L43" s="8">
        <v>-20.9</v>
      </c>
      <c r="M43" s="4" t="s">
        <v>532</v>
      </c>
      <c r="N43" s="5">
        <v>45863</v>
      </c>
      <c r="O43" s="25" t="s">
        <v>151</v>
      </c>
      <c r="P43" s="6" t="s">
        <v>393</v>
      </c>
      <c r="Q43" s="14">
        <v>45887</v>
      </c>
      <c r="R43" s="12">
        <v>10</v>
      </c>
      <c r="S43" s="4">
        <v>1260</v>
      </c>
      <c r="T43" s="14">
        <v>45904</v>
      </c>
      <c r="U43" s="4" t="s">
        <v>22</v>
      </c>
      <c r="V43" s="13">
        <v>264</v>
      </c>
      <c r="W43" s="27">
        <v>46037</v>
      </c>
      <c r="X43" s="4" t="s">
        <v>232</v>
      </c>
      <c r="Y43" s="4" t="s">
        <v>292</v>
      </c>
      <c r="Z43" s="34" t="s">
        <v>534</v>
      </c>
      <c r="AA43" s="9">
        <v>1095000</v>
      </c>
      <c r="AB43" s="5">
        <v>46007</v>
      </c>
      <c r="AC43" s="4" t="s">
        <v>232</v>
      </c>
      <c r="AD43" s="4" t="s">
        <v>292</v>
      </c>
      <c r="AE43" s="34" t="s">
        <v>535</v>
      </c>
      <c r="AF43" s="9">
        <v>905000</v>
      </c>
      <c r="AG43" s="5">
        <v>46007</v>
      </c>
      <c r="AH43" s="4">
        <v>48</v>
      </c>
      <c r="AI43" s="14">
        <v>46037</v>
      </c>
    </row>
    <row r="44" spans="1:35" ht="43.2" hidden="1" x14ac:dyDescent="0.3">
      <c r="A44" s="4" t="s">
        <v>22</v>
      </c>
      <c r="B44" s="4">
        <v>9</v>
      </c>
      <c r="C44" s="4">
        <v>13</v>
      </c>
      <c r="D44" s="6" t="s">
        <v>253</v>
      </c>
      <c r="E44" s="4" t="s">
        <v>7</v>
      </c>
      <c r="F44" s="4">
        <v>199608</v>
      </c>
      <c r="G44" s="5">
        <v>45841</v>
      </c>
      <c r="H44" s="5">
        <v>45852</v>
      </c>
      <c r="I44" s="5">
        <v>45853</v>
      </c>
      <c r="J44" s="7">
        <v>7466411.8799999999</v>
      </c>
      <c r="K44" s="7">
        <v>5811855.0099999998</v>
      </c>
      <c r="L44" s="8">
        <v>-22.16</v>
      </c>
      <c r="M44" s="4" t="s">
        <v>254</v>
      </c>
      <c r="N44" s="5">
        <v>45863</v>
      </c>
      <c r="O44" s="6" t="s">
        <v>18</v>
      </c>
      <c r="P44" s="15" t="s">
        <v>383</v>
      </c>
      <c r="Q44" s="14">
        <v>45877</v>
      </c>
      <c r="R44" s="12">
        <v>6</v>
      </c>
      <c r="S44" s="4">
        <v>1220</v>
      </c>
      <c r="T44" s="14">
        <v>45898</v>
      </c>
      <c r="U44" s="4" t="s">
        <v>22</v>
      </c>
      <c r="V44" s="13">
        <v>190</v>
      </c>
      <c r="W44" s="27">
        <v>45943</v>
      </c>
      <c r="X44" s="4" t="s">
        <v>231</v>
      </c>
      <c r="Y44" s="4" t="s">
        <v>241</v>
      </c>
      <c r="Z44" s="34">
        <v>44461392653</v>
      </c>
      <c r="AA44" s="9">
        <v>291000</v>
      </c>
      <c r="AB44" s="5">
        <v>45911</v>
      </c>
      <c r="AC44" s="4" t="s">
        <v>231</v>
      </c>
      <c r="AD44" s="4" t="s">
        <v>241</v>
      </c>
      <c r="AE44" s="34">
        <v>44461391773</v>
      </c>
      <c r="AF44" s="9">
        <v>273000</v>
      </c>
      <c r="AG44" s="5">
        <v>45911</v>
      </c>
      <c r="AH44" s="4">
        <v>1474</v>
      </c>
      <c r="AI44" s="14">
        <v>45943</v>
      </c>
    </row>
    <row r="45" spans="1:35" ht="43.2" hidden="1" x14ac:dyDescent="0.3">
      <c r="A45" s="4" t="s">
        <v>22</v>
      </c>
      <c r="B45" s="4">
        <v>9</v>
      </c>
      <c r="C45" s="4">
        <v>15</v>
      </c>
      <c r="D45" s="6" t="s">
        <v>255</v>
      </c>
      <c r="E45" s="4" t="s">
        <v>3</v>
      </c>
      <c r="F45" s="4">
        <v>199607</v>
      </c>
      <c r="G45" s="5">
        <v>45841</v>
      </c>
      <c r="H45" s="5">
        <v>45852</v>
      </c>
      <c r="I45" s="5">
        <v>45853</v>
      </c>
      <c r="J45" s="7">
        <v>22338543.73</v>
      </c>
      <c r="K45" s="7">
        <v>27029637.91</v>
      </c>
      <c r="L45" s="8">
        <v>21</v>
      </c>
      <c r="M45" s="4" t="s">
        <v>24</v>
      </c>
      <c r="N45" s="5">
        <v>45863</v>
      </c>
      <c r="O45" s="25" t="s">
        <v>151</v>
      </c>
      <c r="P45" s="6" t="s">
        <v>384</v>
      </c>
      <c r="Q45" s="14">
        <v>45881</v>
      </c>
      <c r="R45" s="12">
        <v>8</v>
      </c>
      <c r="S45" s="4">
        <v>1255</v>
      </c>
      <c r="T45" s="14">
        <v>45903</v>
      </c>
      <c r="U45" s="4" t="s">
        <v>22</v>
      </c>
      <c r="V45" s="13">
        <v>288</v>
      </c>
      <c r="W45" s="27">
        <v>46045</v>
      </c>
      <c r="X45" s="4" t="s">
        <v>231</v>
      </c>
      <c r="Y45" s="4" t="s">
        <v>241</v>
      </c>
      <c r="Z45" s="34">
        <v>44723051515</v>
      </c>
      <c r="AA45" s="9">
        <v>1352000</v>
      </c>
      <c r="AB45" s="5">
        <v>46000</v>
      </c>
      <c r="AC45" s="11"/>
      <c r="AD45" s="11"/>
      <c r="AF45" s="9"/>
      <c r="AG45" s="11"/>
      <c r="AH45" s="4">
        <v>86</v>
      </c>
      <c r="AI45" s="14">
        <v>46045</v>
      </c>
    </row>
    <row r="46" spans="1:35" ht="57.6" hidden="1" x14ac:dyDescent="0.3">
      <c r="A46" s="4" t="s">
        <v>22</v>
      </c>
      <c r="B46" s="4">
        <v>15</v>
      </c>
      <c r="C46" s="4">
        <v>5</v>
      </c>
      <c r="D46" s="6" t="s">
        <v>403</v>
      </c>
      <c r="E46" s="4" t="s">
        <v>2</v>
      </c>
      <c r="F46" s="4">
        <v>213149</v>
      </c>
      <c r="G46" s="5">
        <v>45875</v>
      </c>
      <c r="H46" s="5">
        <v>45887</v>
      </c>
      <c r="I46" s="5">
        <v>45888</v>
      </c>
      <c r="J46" s="7">
        <v>1257594.95</v>
      </c>
      <c r="K46" s="7">
        <v>990859.06</v>
      </c>
      <c r="L46" s="8">
        <v>-21.21</v>
      </c>
      <c r="M46" s="4" t="s">
        <v>178</v>
      </c>
      <c r="N46" s="5"/>
      <c r="O46" s="6"/>
      <c r="P46" s="6"/>
      <c r="R46" s="12">
        <v>1</v>
      </c>
      <c r="S46" s="4">
        <v>1335</v>
      </c>
      <c r="T46" s="14">
        <v>45915</v>
      </c>
      <c r="U46" s="4" t="s">
        <v>22</v>
      </c>
      <c r="V46" s="13">
        <v>185</v>
      </c>
      <c r="W46" s="27">
        <v>45943</v>
      </c>
      <c r="X46" s="4" t="s">
        <v>231</v>
      </c>
      <c r="Y46" s="4" t="s">
        <v>439</v>
      </c>
      <c r="Z46" s="34" t="s">
        <v>440</v>
      </c>
      <c r="AA46" s="9">
        <v>50000</v>
      </c>
      <c r="AB46" s="5">
        <v>45936</v>
      </c>
      <c r="AC46" s="4" t="s">
        <v>231</v>
      </c>
      <c r="AD46" s="4" t="s">
        <v>439</v>
      </c>
      <c r="AE46" s="34" t="s">
        <v>441</v>
      </c>
      <c r="AF46" s="9">
        <v>43000</v>
      </c>
      <c r="AG46" s="5">
        <v>45936</v>
      </c>
      <c r="AH46" s="4">
        <v>1469</v>
      </c>
      <c r="AI46" s="14">
        <v>45943</v>
      </c>
    </row>
    <row r="47" spans="1:35" ht="43.2" hidden="1" x14ac:dyDescent="0.3">
      <c r="A47" s="4" t="s">
        <v>22</v>
      </c>
      <c r="B47" s="4">
        <v>15</v>
      </c>
      <c r="C47" s="4">
        <v>7</v>
      </c>
      <c r="D47" s="6" t="s">
        <v>399</v>
      </c>
      <c r="E47" s="4" t="s">
        <v>0</v>
      </c>
      <c r="F47" s="4">
        <v>213308</v>
      </c>
      <c r="G47" s="5">
        <v>45875</v>
      </c>
      <c r="H47" s="5">
        <v>45887</v>
      </c>
      <c r="I47" s="5">
        <v>45888</v>
      </c>
      <c r="J47" s="7">
        <v>2473582.67</v>
      </c>
      <c r="K47" s="7">
        <v>1709740.34</v>
      </c>
      <c r="L47" s="8">
        <v>-30.88</v>
      </c>
      <c r="M47" s="4" t="s">
        <v>267</v>
      </c>
      <c r="N47" s="5"/>
      <c r="O47" s="6"/>
      <c r="P47" s="6"/>
      <c r="R47" s="12">
        <v>1</v>
      </c>
      <c r="S47" s="4">
        <v>1337</v>
      </c>
      <c r="T47" s="14">
        <v>45915</v>
      </c>
      <c r="U47" s="4" t="s">
        <v>22</v>
      </c>
      <c r="V47" s="13">
        <v>224</v>
      </c>
      <c r="W47" s="27">
        <v>46001</v>
      </c>
      <c r="X47" s="4" t="s">
        <v>231</v>
      </c>
      <c r="Y47" s="4" t="s">
        <v>387</v>
      </c>
      <c r="Z47" s="34">
        <v>5896381668</v>
      </c>
      <c r="AA47" s="9">
        <v>86000</v>
      </c>
      <c r="AB47" s="5">
        <v>45967</v>
      </c>
      <c r="AC47" s="4" t="s">
        <v>231</v>
      </c>
      <c r="AD47" s="4" t="s">
        <v>387</v>
      </c>
      <c r="AE47" s="34">
        <v>5913030045</v>
      </c>
      <c r="AF47" s="9">
        <v>155000</v>
      </c>
      <c r="AG47" s="5">
        <v>46001</v>
      </c>
      <c r="AH47" s="4">
        <v>1688</v>
      </c>
      <c r="AI47" s="14">
        <v>46001</v>
      </c>
    </row>
    <row r="48" spans="1:35" ht="43.2" hidden="1" x14ac:dyDescent="0.3">
      <c r="A48" s="4" t="s">
        <v>22</v>
      </c>
      <c r="B48" s="4">
        <v>15</v>
      </c>
      <c r="C48" s="4">
        <v>11</v>
      </c>
      <c r="D48" s="6" t="s">
        <v>400</v>
      </c>
      <c r="E48" s="4" t="s">
        <v>7</v>
      </c>
      <c r="F48" s="4">
        <v>213317</v>
      </c>
      <c r="G48" s="5">
        <v>45875</v>
      </c>
      <c r="H48" s="5">
        <v>45887</v>
      </c>
      <c r="I48" s="5">
        <v>45888</v>
      </c>
      <c r="J48" s="7">
        <v>669356.71</v>
      </c>
      <c r="K48" s="7">
        <v>476046.49</v>
      </c>
      <c r="L48" s="8">
        <v>-28.88</v>
      </c>
      <c r="M48" s="4" t="s">
        <v>379</v>
      </c>
      <c r="N48" s="5"/>
      <c r="O48" s="6"/>
      <c r="P48" s="6"/>
      <c r="R48" s="12">
        <v>1</v>
      </c>
      <c r="S48" s="4">
        <v>1356</v>
      </c>
      <c r="T48" s="14">
        <v>45922</v>
      </c>
      <c r="U48" s="4" t="s">
        <v>22</v>
      </c>
      <c r="V48" s="13">
        <v>194</v>
      </c>
      <c r="W48" s="27">
        <v>45964</v>
      </c>
      <c r="X48" s="4" t="s">
        <v>231</v>
      </c>
      <c r="Y48" s="4" t="s">
        <v>241</v>
      </c>
      <c r="Z48" s="34">
        <v>44537744624</v>
      </c>
      <c r="AA48" s="9">
        <v>24000</v>
      </c>
      <c r="AB48" s="5">
        <v>45938</v>
      </c>
      <c r="AC48" s="4" t="s">
        <v>231</v>
      </c>
      <c r="AD48" s="4" t="s">
        <v>241</v>
      </c>
      <c r="AE48" s="34">
        <v>44564969511</v>
      </c>
      <c r="AF48" s="9">
        <v>38000</v>
      </c>
      <c r="AG48" s="5">
        <v>45947</v>
      </c>
      <c r="AH48" s="4">
        <v>1496</v>
      </c>
      <c r="AI48" s="14">
        <v>45964</v>
      </c>
    </row>
    <row r="49" spans="1:35" ht="57.6" hidden="1" x14ac:dyDescent="0.3">
      <c r="A49" s="4" t="s">
        <v>22</v>
      </c>
      <c r="B49" s="4">
        <v>17</v>
      </c>
      <c r="C49" s="4">
        <v>3</v>
      </c>
      <c r="D49" s="6" t="s">
        <v>425</v>
      </c>
      <c r="E49" s="4" t="s">
        <v>6</v>
      </c>
      <c r="F49" s="4">
        <v>221192</v>
      </c>
      <c r="G49" s="5">
        <v>45903</v>
      </c>
      <c r="H49" s="5">
        <v>45915</v>
      </c>
      <c r="I49" s="5">
        <v>45916</v>
      </c>
      <c r="J49" s="7">
        <v>11756762.73</v>
      </c>
      <c r="K49" s="7">
        <v>9142058.6999999993</v>
      </c>
      <c r="L49" s="8">
        <v>-22.24</v>
      </c>
      <c r="M49" s="4" t="s">
        <v>406</v>
      </c>
      <c r="N49" s="5">
        <v>45924</v>
      </c>
      <c r="O49" s="6" t="s">
        <v>18</v>
      </c>
      <c r="P49" s="15" t="s">
        <v>447</v>
      </c>
      <c r="Q49" s="14">
        <v>45933</v>
      </c>
      <c r="R49" s="12">
        <v>6</v>
      </c>
      <c r="S49" s="4">
        <v>1515</v>
      </c>
      <c r="T49" s="14">
        <v>45972</v>
      </c>
      <c r="U49" s="4" t="s">
        <v>22</v>
      </c>
      <c r="V49" s="13">
        <v>299</v>
      </c>
      <c r="W49" s="27">
        <v>46056</v>
      </c>
      <c r="X49" s="4" t="s">
        <v>231</v>
      </c>
      <c r="Y49" s="4" t="s">
        <v>241</v>
      </c>
      <c r="Z49" s="34">
        <v>44803353220</v>
      </c>
      <c r="AA49" s="9">
        <v>458000</v>
      </c>
      <c r="AB49" s="5">
        <v>46027</v>
      </c>
      <c r="AC49" s="4" t="s">
        <v>231</v>
      </c>
      <c r="AD49" s="4" t="s">
        <v>241</v>
      </c>
      <c r="AE49" s="34">
        <v>44817559792</v>
      </c>
      <c r="AF49" s="9">
        <v>432000</v>
      </c>
      <c r="AG49" s="5">
        <v>46031</v>
      </c>
      <c r="AH49" s="4">
        <v>121</v>
      </c>
      <c r="AI49" s="14">
        <v>46056</v>
      </c>
    </row>
    <row r="50" spans="1:35" ht="43.2" hidden="1" x14ac:dyDescent="0.3">
      <c r="A50" s="4" t="s">
        <v>22</v>
      </c>
      <c r="B50" s="4">
        <v>17</v>
      </c>
      <c r="C50" s="4">
        <v>4</v>
      </c>
      <c r="D50" s="6" t="s">
        <v>426</v>
      </c>
      <c r="E50" s="4" t="s">
        <v>212</v>
      </c>
      <c r="F50" s="4">
        <v>221193</v>
      </c>
      <c r="G50" s="5">
        <v>45903</v>
      </c>
      <c r="H50" s="5">
        <v>45915</v>
      </c>
      <c r="I50" s="5">
        <v>45916</v>
      </c>
      <c r="J50" s="7">
        <v>35814664.399999999</v>
      </c>
      <c r="K50" s="7">
        <v>30023433.170000002</v>
      </c>
      <c r="L50" s="8">
        <v>-16.170000000000002</v>
      </c>
      <c r="M50" s="4" t="s">
        <v>140</v>
      </c>
      <c r="N50" s="5">
        <v>45924</v>
      </c>
      <c r="O50" s="25" t="s">
        <v>151</v>
      </c>
      <c r="P50" s="6" t="s">
        <v>451</v>
      </c>
      <c r="Q50" s="14">
        <v>45938</v>
      </c>
      <c r="R50" s="12">
        <v>10</v>
      </c>
      <c r="S50" s="4">
        <v>1519</v>
      </c>
      <c r="T50" s="14">
        <v>45972</v>
      </c>
      <c r="U50" s="4" t="s">
        <v>22</v>
      </c>
      <c r="V50" s="13">
        <v>295</v>
      </c>
      <c r="W50" s="27">
        <v>46052</v>
      </c>
      <c r="X50" s="4" t="s">
        <v>231</v>
      </c>
      <c r="Y50" s="4" t="s">
        <v>241</v>
      </c>
      <c r="Z50" s="34">
        <v>44863489489</v>
      </c>
      <c r="AA50" s="9">
        <v>1502000</v>
      </c>
      <c r="AB50" s="5">
        <v>46050</v>
      </c>
      <c r="AC50" s="4" t="s">
        <v>231</v>
      </c>
      <c r="AD50" s="4" t="s">
        <v>241</v>
      </c>
      <c r="AE50" s="34">
        <v>44869443108</v>
      </c>
      <c r="AF50" s="9">
        <v>442000</v>
      </c>
      <c r="AG50" s="5">
        <v>46052</v>
      </c>
      <c r="AH50" s="4">
        <v>113</v>
      </c>
      <c r="AI50" s="14">
        <v>46052</v>
      </c>
    </row>
    <row r="51" spans="1:35" ht="43.2" hidden="1" x14ac:dyDescent="0.3">
      <c r="A51" s="4" t="s">
        <v>22</v>
      </c>
      <c r="B51" s="4">
        <v>17</v>
      </c>
      <c r="C51" s="4">
        <v>7</v>
      </c>
      <c r="D51" s="6" t="s">
        <v>428</v>
      </c>
      <c r="E51" s="4" t="s">
        <v>177</v>
      </c>
      <c r="F51" s="4">
        <v>221196</v>
      </c>
      <c r="G51" s="5">
        <v>45903</v>
      </c>
      <c r="H51" s="5">
        <v>45915</v>
      </c>
      <c r="I51" s="5">
        <v>45916</v>
      </c>
      <c r="J51" s="7">
        <v>26285528.350000001</v>
      </c>
      <c r="K51" s="7">
        <v>24866109.82</v>
      </c>
      <c r="L51" s="8">
        <v>-5.4</v>
      </c>
      <c r="M51" s="4" t="s">
        <v>407</v>
      </c>
      <c r="N51" s="5">
        <v>45924</v>
      </c>
      <c r="O51" s="25" t="s">
        <v>151</v>
      </c>
      <c r="P51" s="6" t="s">
        <v>453</v>
      </c>
      <c r="Q51" s="14">
        <v>45944</v>
      </c>
      <c r="R51" s="12">
        <v>8</v>
      </c>
      <c r="S51" s="4">
        <v>1520</v>
      </c>
      <c r="T51" s="14">
        <v>45972</v>
      </c>
      <c r="U51" s="4" t="s">
        <v>22</v>
      </c>
      <c r="V51" s="13">
        <v>355</v>
      </c>
      <c r="W51" s="27">
        <v>46108</v>
      </c>
      <c r="X51" s="4" t="s">
        <v>232</v>
      </c>
      <c r="Y51" s="4" t="s">
        <v>438</v>
      </c>
      <c r="Z51" s="34" t="s">
        <v>590</v>
      </c>
      <c r="AA51" s="9">
        <v>1244000</v>
      </c>
      <c r="AB51" s="5">
        <v>46090</v>
      </c>
      <c r="AC51" s="11"/>
      <c r="AD51" s="11"/>
      <c r="AF51" s="9"/>
      <c r="AG51" s="11"/>
      <c r="AH51" s="4">
        <v>438</v>
      </c>
      <c r="AI51" s="27">
        <v>46108</v>
      </c>
    </row>
    <row r="52" spans="1:35" ht="43.2" hidden="1" x14ac:dyDescent="0.3">
      <c r="A52" s="4" t="s">
        <v>22</v>
      </c>
      <c r="B52" s="4">
        <v>17</v>
      </c>
      <c r="C52" s="4">
        <v>9</v>
      </c>
      <c r="D52" s="6" t="s">
        <v>408</v>
      </c>
      <c r="E52" s="4" t="s">
        <v>7</v>
      </c>
      <c r="F52" s="4">
        <v>221197</v>
      </c>
      <c r="G52" s="5">
        <v>45903</v>
      </c>
      <c r="H52" s="5">
        <v>45915</v>
      </c>
      <c r="I52" s="5">
        <v>45916</v>
      </c>
      <c r="J52" s="7">
        <v>20266356.100000001</v>
      </c>
      <c r="K52" s="7">
        <v>17019685.850000001</v>
      </c>
      <c r="L52" s="8">
        <v>-16.02</v>
      </c>
      <c r="M52" s="4" t="s">
        <v>140</v>
      </c>
      <c r="N52" s="5">
        <v>45924</v>
      </c>
      <c r="O52" s="25" t="s">
        <v>151</v>
      </c>
      <c r="P52" s="6" t="s">
        <v>450</v>
      </c>
      <c r="Q52" s="14">
        <v>45938</v>
      </c>
      <c r="R52" s="12">
        <v>8</v>
      </c>
      <c r="S52" s="4">
        <v>1518</v>
      </c>
      <c r="T52" s="14">
        <v>45972</v>
      </c>
      <c r="U52" s="4" t="s">
        <v>22</v>
      </c>
      <c r="V52" s="13">
        <v>296</v>
      </c>
      <c r="W52" s="27">
        <v>46052</v>
      </c>
      <c r="X52" s="4" t="s">
        <v>231</v>
      </c>
      <c r="Y52" s="4" t="s">
        <v>241</v>
      </c>
      <c r="Z52" s="34">
        <v>44863327278</v>
      </c>
      <c r="AA52" s="9">
        <v>851000</v>
      </c>
      <c r="AB52" s="5">
        <v>46050</v>
      </c>
      <c r="AC52" s="4" t="s">
        <v>231</v>
      </c>
      <c r="AD52" s="4" t="s">
        <v>241</v>
      </c>
      <c r="AE52" s="34">
        <v>44869573919</v>
      </c>
      <c r="AF52" s="9">
        <v>245000</v>
      </c>
      <c r="AG52" s="5">
        <v>46052</v>
      </c>
      <c r="AH52" s="4">
        <v>114</v>
      </c>
      <c r="AI52" s="14">
        <v>46052</v>
      </c>
    </row>
    <row r="53" spans="1:35" ht="43.2" hidden="1" x14ac:dyDescent="0.3">
      <c r="A53" s="4" t="s">
        <v>22</v>
      </c>
      <c r="B53" s="4">
        <v>17</v>
      </c>
      <c r="C53" s="4">
        <v>10</v>
      </c>
      <c r="D53" s="6" t="s">
        <v>430</v>
      </c>
      <c r="E53" s="4" t="s">
        <v>175</v>
      </c>
      <c r="F53" s="4">
        <v>221199</v>
      </c>
      <c r="G53" s="5">
        <v>45903</v>
      </c>
      <c r="H53" s="5">
        <v>45915</v>
      </c>
      <c r="I53" s="5">
        <v>45916</v>
      </c>
      <c r="J53" s="7">
        <v>34494645.359999999</v>
      </c>
      <c r="K53" s="7">
        <v>32321482.699999999</v>
      </c>
      <c r="L53" s="8">
        <v>-6.3</v>
      </c>
      <c r="M53" s="4" t="s">
        <v>9</v>
      </c>
      <c r="N53" s="5">
        <v>45924</v>
      </c>
      <c r="O53" s="25" t="s">
        <v>151</v>
      </c>
      <c r="P53" s="6" t="s">
        <v>448</v>
      </c>
      <c r="Q53" s="14">
        <v>45938</v>
      </c>
      <c r="R53" s="12">
        <v>10</v>
      </c>
      <c r="S53" s="4">
        <v>1516</v>
      </c>
      <c r="T53" s="14">
        <v>45972</v>
      </c>
      <c r="U53" s="4" t="s">
        <v>22</v>
      </c>
      <c r="V53" s="13">
        <v>322</v>
      </c>
      <c r="W53" s="27">
        <v>46083</v>
      </c>
      <c r="X53" s="4" t="s">
        <v>231</v>
      </c>
      <c r="Y53" s="4" t="s">
        <v>439</v>
      </c>
      <c r="Z53" s="34" t="s">
        <v>565</v>
      </c>
      <c r="AA53" s="9">
        <v>1617000</v>
      </c>
      <c r="AB53" s="5">
        <v>46080</v>
      </c>
      <c r="AC53" s="11"/>
      <c r="AD53" s="11"/>
      <c r="AF53" s="9"/>
      <c r="AG53" s="11"/>
      <c r="AH53" s="4">
        <v>326</v>
      </c>
      <c r="AI53" s="14">
        <v>46083</v>
      </c>
    </row>
    <row r="54" spans="1:35" ht="43.2" hidden="1" x14ac:dyDescent="0.3">
      <c r="A54" s="4" t="s">
        <v>22</v>
      </c>
      <c r="B54" s="4">
        <v>17</v>
      </c>
      <c r="C54" s="4">
        <v>11</v>
      </c>
      <c r="D54" s="6" t="s">
        <v>431</v>
      </c>
      <c r="E54" s="4" t="s">
        <v>2</v>
      </c>
      <c r="F54" s="4">
        <v>221201</v>
      </c>
      <c r="G54" s="5">
        <v>45903</v>
      </c>
      <c r="H54" s="5">
        <v>45915</v>
      </c>
      <c r="I54" s="5">
        <v>45916</v>
      </c>
      <c r="J54" s="7">
        <v>26757447.239999998</v>
      </c>
      <c r="K54" s="7">
        <v>22409362.059999999</v>
      </c>
      <c r="L54" s="8">
        <v>-16.25</v>
      </c>
      <c r="M54" s="4" t="s">
        <v>140</v>
      </c>
      <c r="N54" s="5">
        <v>45924</v>
      </c>
      <c r="O54" s="25" t="s">
        <v>151</v>
      </c>
      <c r="P54" s="6" t="s">
        <v>449</v>
      </c>
      <c r="Q54" s="14">
        <v>45938</v>
      </c>
      <c r="R54" s="12">
        <v>8</v>
      </c>
      <c r="S54" s="4">
        <v>1517</v>
      </c>
      <c r="T54" s="14">
        <v>45972</v>
      </c>
      <c r="U54" s="4" t="s">
        <v>22</v>
      </c>
      <c r="V54" s="13">
        <v>297</v>
      </c>
      <c r="W54" s="27">
        <v>46052</v>
      </c>
      <c r="X54" s="4" t="s">
        <v>231</v>
      </c>
      <c r="Y54" s="4" t="s">
        <v>241</v>
      </c>
      <c r="Z54" s="34">
        <v>44863446706</v>
      </c>
      <c r="AA54" s="9">
        <v>1121000</v>
      </c>
      <c r="AB54" s="5">
        <v>46050</v>
      </c>
      <c r="AC54" s="4" t="s">
        <v>231</v>
      </c>
      <c r="AD54" s="4" t="s">
        <v>241</v>
      </c>
      <c r="AE54" s="34">
        <v>44869464990</v>
      </c>
      <c r="AF54" s="9">
        <v>335000</v>
      </c>
      <c r="AG54" s="5">
        <v>46052</v>
      </c>
      <c r="AH54" s="4">
        <v>115</v>
      </c>
      <c r="AI54" s="14">
        <v>46052</v>
      </c>
    </row>
    <row r="55" spans="1:35" ht="43.2" hidden="1" x14ac:dyDescent="0.3">
      <c r="A55" s="4" t="s">
        <v>22</v>
      </c>
      <c r="B55" s="4">
        <v>17</v>
      </c>
      <c r="C55" s="4">
        <v>21</v>
      </c>
      <c r="D55" s="6" t="s">
        <v>433</v>
      </c>
      <c r="E55" s="4" t="s">
        <v>7</v>
      </c>
      <c r="F55" s="4">
        <v>221654</v>
      </c>
      <c r="G55" s="5">
        <v>45903</v>
      </c>
      <c r="H55" s="5">
        <v>45915</v>
      </c>
      <c r="I55" s="5">
        <v>45916</v>
      </c>
      <c r="J55" s="7">
        <v>12537845.210000001</v>
      </c>
      <c r="K55" s="7">
        <v>10843982.32</v>
      </c>
      <c r="L55" s="8">
        <v>-13.51</v>
      </c>
      <c r="M55" s="4" t="s">
        <v>140</v>
      </c>
      <c r="N55" s="5">
        <v>45924</v>
      </c>
      <c r="O55" s="6" t="s">
        <v>18</v>
      </c>
      <c r="P55" s="15" t="s">
        <v>436</v>
      </c>
      <c r="Q55" s="14">
        <v>45903</v>
      </c>
      <c r="R55" s="12">
        <v>6</v>
      </c>
      <c r="S55" s="4">
        <v>1514</v>
      </c>
      <c r="T55" s="14">
        <v>45972</v>
      </c>
      <c r="U55" s="4" t="s">
        <v>22</v>
      </c>
      <c r="V55" s="13">
        <v>298</v>
      </c>
      <c r="W55" s="27">
        <v>46052</v>
      </c>
      <c r="X55" s="4" t="s">
        <v>231</v>
      </c>
      <c r="Y55" s="4" t="s">
        <v>241</v>
      </c>
      <c r="Z55" s="34">
        <v>44863324903</v>
      </c>
      <c r="AA55" s="9">
        <v>543000</v>
      </c>
      <c r="AB55" s="5">
        <v>46050</v>
      </c>
      <c r="AC55" s="4" t="s">
        <v>231</v>
      </c>
      <c r="AD55" s="4" t="s">
        <v>241</v>
      </c>
      <c r="AE55" s="34">
        <v>44869444000</v>
      </c>
      <c r="AF55" s="9">
        <v>89000</v>
      </c>
      <c r="AG55" s="5">
        <v>46052</v>
      </c>
      <c r="AH55" s="4">
        <v>116</v>
      </c>
      <c r="AI55" s="14">
        <v>46052</v>
      </c>
    </row>
    <row r="56" spans="1:35" ht="43.2" hidden="1" x14ac:dyDescent="0.3">
      <c r="A56" s="4" t="s">
        <v>22</v>
      </c>
      <c r="B56" s="4">
        <v>21</v>
      </c>
      <c r="C56" s="4">
        <v>5</v>
      </c>
      <c r="D56" s="6" t="s">
        <v>477</v>
      </c>
      <c r="E56" s="4" t="s">
        <v>177</v>
      </c>
      <c r="F56" s="4">
        <v>236984</v>
      </c>
      <c r="G56" s="5">
        <v>45948</v>
      </c>
      <c r="H56" s="5">
        <v>45964</v>
      </c>
      <c r="I56" s="5">
        <v>45965</v>
      </c>
      <c r="J56" s="7">
        <v>50657649.75</v>
      </c>
      <c r="K56" s="7">
        <v>43064068.049999997</v>
      </c>
      <c r="L56" s="8">
        <v>-14.99</v>
      </c>
      <c r="M56" s="4" t="s">
        <v>9</v>
      </c>
      <c r="N56" s="5">
        <v>45974</v>
      </c>
      <c r="O56" s="25" t="s">
        <v>151</v>
      </c>
      <c r="P56" s="6" t="s">
        <v>578</v>
      </c>
      <c r="Q56" s="14">
        <v>46043</v>
      </c>
      <c r="R56" s="12">
        <v>12</v>
      </c>
      <c r="S56" s="4">
        <v>228</v>
      </c>
      <c r="T56" s="14">
        <v>46066</v>
      </c>
      <c r="U56" s="4" t="s">
        <v>22</v>
      </c>
      <c r="V56" s="13">
        <v>356</v>
      </c>
      <c r="W56" s="27">
        <v>46108</v>
      </c>
      <c r="X56" s="4" t="s">
        <v>231</v>
      </c>
      <c r="Y56" s="4" t="s">
        <v>439</v>
      </c>
      <c r="Z56" s="34" t="s">
        <v>591</v>
      </c>
      <c r="AA56" s="9">
        <v>2154000</v>
      </c>
      <c r="AB56" s="5">
        <v>46108</v>
      </c>
      <c r="AC56" s="4" t="s">
        <v>231</v>
      </c>
      <c r="AD56" s="4" t="s">
        <v>439</v>
      </c>
      <c r="AE56" s="34" t="s">
        <v>592</v>
      </c>
      <c r="AF56" s="9">
        <v>506000</v>
      </c>
      <c r="AG56" s="5">
        <v>46108</v>
      </c>
      <c r="AH56" s="4">
        <v>439</v>
      </c>
      <c r="AI56" s="5">
        <v>46108</v>
      </c>
    </row>
    <row r="57" spans="1:35" ht="57.6" hidden="1" x14ac:dyDescent="0.3">
      <c r="A57" s="4" t="s">
        <v>22</v>
      </c>
      <c r="B57" s="4">
        <v>21</v>
      </c>
      <c r="C57" s="4">
        <v>6</v>
      </c>
      <c r="D57" s="6" t="s">
        <v>478</v>
      </c>
      <c r="E57" s="4" t="s">
        <v>1</v>
      </c>
      <c r="F57" s="4">
        <v>236987</v>
      </c>
      <c r="G57" s="5">
        <v>45948</v>
      </c>
      <c r="H57" s="5">
        <v>45964</v>
      </c>
      <c r="I57" s="5">
        <v>45965</v>
      </c>
      <c r="J57" s="7">
        <v>3514814.96</v>
      </c>
      <c r="K57" s="7">
        <v>2741555.67</v>
      </c>
      <c r="L57" s="8">
        <v>-22</v>
      </c>
      <c r="M57" s="4" t="s">
        <v>111</v>
      </c>
      <c r="N57" s="5"/>
      <c r="O57" s="6"/>
      <c r="P57" s="6"/>
      <c r="R57" s="12">
        <v>3</v>
      </c>
      <c r="S57" s="4">
        <v>1554</v>
      </c>
      <c r="T57" s="14">
        <v>45981</v>
      </c>
      <c r="U57" s="4" t="s">
        <v>22</v>
      </c>
      <c r="V57" s="13">
        <v>223</v>
      </c>
      <c r="W57" s="27">
        <v>46001</v>
      </c>
      <c r="X57" s="4" t="s">
        <v>231</v>
      </c>
      <c r="Y57" s="4" t="s">
        <v>241</v>
      </c>
      <c r="Z57" s="34">
        <v>44711528800</v>
      </c>
      <c r="AA57" s="9">
        <v>138000</v>
      </c>
      <c r="AB57" s="5">
        <v>45996</v>
      </c>
      <c r="AC57" s="4" t="s">
        <v>231</v>
      </c>
      <c r="AD57" s="4" t="s">
        <v>241</v>
      </c>
      <c r="AE57" s="34">
        <v>44711681609</v>
      </c>
      <c r="AF57" s="9">
        <v>127000</v>
      </c>
      <c r="AG57" s="5">
        <v>45996</v>
      </c>
      <c r="AH57" s="4">
        <v>1604</v>
      </c>
      <c r="AI57" s="14">
        <v>46001</v>
      </c>
    </row>
    <row r="58" spans="1:35" ht="43.2" hidden="1" x14ac:dyDescent="0.3">
      <c r="A58" s="4" t="s">
        <v>22</v>
      </c>
      <c r="B58" s="4">
        <v>25</v>
      </c>
      <c r="C58" s="4">
        <v>2</v>
      </c>
      <c r="D58" s="6" t="s">
        <v>547</v>
      </c>
      <c r="E58" s="4" t="s">
        <v>6</v>
      </c>
      <c r="F58" s="4">
        <v>253503</v>
      </c>
      <c r="G58" s="5">
        <v>46004</v>
      </c>
      <c r="H58" s="5">
        <v>46013</v>
      </c>
      <c r="I58" s="5">
        <v>46014</v>
      </c>
      <c r="J58" s="7">
        <v>13652083.23</v>
      </c>
      <c r="K58" s="7">
        <v>11563314.5</v>
      </c>
      <c r="L58" s="8">
        <v>-15.3</v>
      </c>
      <c r="M58" s="4" t="s">
        <v>548</v>
      </c>
      <c r="N58" s="5"/>
      <c r="O58" s="6" t="s">
        <v>18</v>
      </c>
      <c r="P58" s="15" t="s">
        <v>550</v>
      </c>
      <c r="Q58" s="14">
        <v>46038</v>
      </c>
      <c r="R58" s="12">
        <v>6</v>
      </c>
      <c r="S58" s="4">
        <v>112</v>
      </c>
      <c r="T58" s="14">
        <v>46052</v>
      </c>
      <c r="U58" s="4" t="s">
        <v>22</v>
      </c>
      <c r="V58" s="13">
        <v>304</v>
      </c>
      <c r="W58" s="27">
        <v>46062</v>
      </c>
      <c r="X58" s="4" t="s">
        <v>231</v>
      </c>
      <c r="Y58" s="4" t="s">
        <v>529</v>
      </c>
      <c r="Z58" s="34" t="s">
        <v>554</v>
      </c>
      <c r="AA58" s="9">
        <v>579000</v>
      </c>
      <c r="AB58" s="5">
        <v>46059</v>
      </c>
      <c r="AC58" s="4" t="s">
        <v>231</v>
      </c>
      <c r="AD58" s="4" t="s">
        <v>529</v>
      </c>
      <c r="AE58" s="34" t="s">
        <v>555</v>
      </c>
      <c r="AF58" s="9">
        <v>145000</v>
      </c>
      <c r="AG58" s="5">
        <v>46059</v>
      </c>
      <c r="AH58" s="4">
        <v>217</v>
      </c>
      <c r="AI58" s="14">
        <v>46062</v>
      </c>
    </row>
    <row r="59" spans="1:35" ht="43.2" hidden="1" x14ac:dyDescent="0.3">
      <c r="A59" s="4" t="s">
        <v>22</v>
      </c>
      <c r="B59" s="4">
        <v>2</v>
      </c>
      <c r="C59" s="4">
        <v>2</v>
      </c>
      <c r="D59" s="6" t="s">
        <v>28</v>
      </c>
      <c r="E59" s="4" t="s">
        <v>175</v>
      </c>
      <c r="F59" s="4">
        <v>180796</v>
      </c>
      <c r="G59" s="5">
        <v>45778</v>
      </c>
      <c r="H59" s="5">
        <v>45789</v>
      </c>
      <c r="I59" s="5">
        <v>45790</v>
      </c>
      <c r="J59" s="7">
        <v>19431786.449999999</v>
      </c>
      <c r="K59" s="7">
        <v>16175019.039999999</v>
      </c>
      <c r="L59" s="8">
        <v>-16.760000000000002</v>
      </c>
      <c r="M59" s="4" t="s">
        <v>9</v>
      </c>
      <c r="N59" s="5">
        <v>45804</v>
      </c>
      <c r="O59" s="6" t="s">
        <v>18</v>
      </c>
      <c r="P59" s="15" t="s">
        <v>169</v>
      </c>
      <c r="Q59" s="14">
        <v>45810</v>
      </c>
      <c r="R59" s="12">
        <v>10</v>
      </c>
      <c r="S59" s="4">
        <v>862</v>
      </c>
      <c r="T59" s="14">
        <v>45827</v>
      </c>
      <c r="U59" s="4"/>
      <c r="V59" s="13"/>
      <c r="W59" s="13"/>
      <c r="X59" s="4"/>
      <c r="Y59" s="4"/>
      <c r="AA59" s="9"/>
      <c r="AB59" s="5"/>
      <c r="AC59" s="11"/>
      <c r="AD59" s="11"/>
      <c r="AF59" s="9"/>
      <c r="AG59" s="11"/>
      <c r="AH59" s="4"/>
    </row>
    <row r="60" spans="1:35" ht="43.2" hidden="1" x14ac:dyDescent="0.3">
      <c r="A60" s="4" t="s">
        <v>22</v>
      </c>
      <c r="B60" s="4">
        <v>2</v>
      </c>
      <c r="C60" s="4">
        <v>6</v>
      </c>
      <c r="D60" s="6" t="s">
        <v>347</v>
      </c>
      <c r="E60" s="4" t="s">
        <v>3</v>
      </c>
      <c r="F60" s="4">
        <v>180825</v>
      </c>
      <c r="G60" s="5">
        <v>45778</v>
      </c>
      <c r="H60" s="5">
        <v>45789</v>
      </c>
      <c r="I60" s="5">
        <v>45790</v>
      </c>
      <c r="J60" s="7">
        <v>15690763.65</v>
      </c>
      <c r="K60" s="7">
        <v>12747176.390000001</v>
      </c>
      <c r="L60" s="8">
        <v>-18.760000000000002</v>
      </c>
      <c r="M60" s="4" t="s">
        <v>9</v>
      </c>
      <c r="N60" s="5">
        <v>45804</v>
      </c>
      <c r="O60" s="6" t="s">
        <v>18</v>
      </c>
      <c r="P60" s="15" t="s">
        <v>171</v>
      </c>
      <c r="Q60" s="14">
        <v>45810</v>
      </c>
      <c r="R60" s="12">
        <v>8</v>
      </c>
      <c r="S60" s="4">
        <v>866</v>
      </c>
      <c r="T60" s="14">
        <v>45827</v>
      </c>
      <c r="U60" s="4"/>
      <c r="V60" s="13"/>
      <c r="W60" s="13"/>
      <c r="X60" s="4"/>
      <c r="Y60" s="4"/>
      <c r="AA60" s="9"/>
      <c r="AB60" s="5"/>
      <c r="AC60" s="11"/>
      <c r="AD60" s="11"/>
      <c r="AF60" s="9"/>
      <c r="AG60" s="11"/>
      <c r="AH60" s="4"/>
    </row>
    <row r="61" spans="1:35" ht="43.2" hidden="1" x14ac:dyDescent="0.3">
      <c r="A61" s="4" t="s">
        <v>22</v>
      </c>
      <c r="B61" s="4">
        <v>2</v>
      </c>
      <c r="C61" s="4">
        <v>7</v>
      </c>
      <c r="D61" s="6" t="s">
        <v>348</v>
      </c>
      <c r="E61" s="4" t="s">
        <v>175</v>
      </c>
      <c r="F61" s="4">
        <v>180832</v>
      </c>
      <c r="G61" s="5">
        <v>45778</v>
      </c>
      <c r="H61" s="5">
        <v>45789</v>
      </c>
      <c r="I61" s="5">
        <v>45790</v>
      </c>
      <c r="J61" s="7">
        <v>11333888.539999999</v>
      </c>
      <c r="K61" s="7">
        <v>9573735.6500000004</v>
      </c>
      <c r="L61" s="8">
        <v>-15.53</v>
      </c>
      <c r="M61" s="4" t="s">
        <v>9</v>
      </c>
      <c r="N61" s="5">
        <v>45804</v>
      </c>
      <c r="O61" s="6" t="s">
        <v>18</v>
      </c>
      <c r="P61" s="15" t="s">
        <v>174</v>
      </c>
      <c r="Q61" s="14">
        <v>45810</v>
      </c>
      <c r="R61" s="12">
        <v>8</v>
      </c>
      <c r="S61" s="4">
        <v>867</v>
      </c>
      <c r="T61" s="14">
        <v>45827</v>
      </c>
      <c r="U61" s="4"/>
      <c r="V61" s="13"/>
      <c r="W61" s="13"/>
      <c r="X61" s="4"/>
      <c r="Y61" s="4"/>
      <c r="AA61" s="9"/>
      <c r="AB61" s="5"/>
      <c r="AC61" s="11"/>
      <c r="AD61" s="11"/>
      <c r="AF61" s="9"/>
      <c r="AG61" s="11"/>
      <c r="AH61" s="4"/>
    </row>
    <row r="62" spans="1:35" ht="43.2" hidden="1" x14ac:dyDescent="0.3">
      <c r="A62" s="4" t="s">
        <v>22</v>
      </c>
      <c r="B62" s="4">
        <v>2</v>
      </c>
      <c r="C62" s="4">
        <v>10</v>
      </c>
      <c r="D62" s="6" t="s">
        <v>145</v>
      </c>
      <c r="E62" s="4" t="s">
        <v>177</v>
      </c>
      <c r="F62" s="4">
        <v>180844</v>
      </c>
      <c r="G62" s="5">
        <v>45778</v>
      </c>
      <c r="H62" s="5">
        <v>45789</v>
      </c>
      <c r="I62" s="5">
        <v>45790</v>
      </c>
      <c r="J62" s="7">
        <v>23183208.690000001</v>
      </c>
      <c r="K62" s="7">
        <v>19107600.600000001</v>
      </c>
      <c r="L62" s="8">
        <v>-17.579999999999998</v>
      </c>
      <c r="M62" s="4" t="s">
        <v>9</v>
      </c>
      <c r="N62" s="5">
        <v>45804</v>
      </c>
      <c r="O62" s="25" t="s">
        <v>151</v>
      </c>
      <c r="P62" s="6" t="s">
        <v>185</v>
      </c>
      <c r="Q62" s="14">
        <v>45813</v>
      </c>
      <c r="R62" s="12">
        <v>8</v>
      </c>
      <c r="S62" s="4">
        <v>870</v>
      </c>
      <c r="T62" s="14">
        <v>45827</v>
      </c>
      <c r="U62" s="4"/>
      <c r="V62" s="13"/>
      <c r="W62" s="13"/>
      <c r="X62" s="4"/>
      <c r="Y62" s="4"/>
      <c r="AA62" s="9"/>
      <c r="AB62" s="5"/>
      <c r="AC62" s="11"/>
      <c r="AD62" s="11"/>
      <c r="AF62" s="9"/>
      <c r="AG62" s="11"/>
      <c r="AH62" s="4"/>
    </row>
    <row r="63" spans="1:35" ht="43.2" hidden="1" x14ac:dyDescent="0.3">
      <c r="A63" s="4" t="s">
        <v>22</v>
      </c>
      <c r="B63" s="4">
        <v>9</v>
      </c>
      <c r="C63" s="4">
        <v>6</v>
      </c>
      <c r="D63" s="6" t="s">
        <v>246</v>
      </c>
      <c r="E63" s="4" t="s">
        <v>7</v>
      </c>
      <c r="F63" s="4">
        <v>199599</v>
      </c>
      <c r="G63" s="5">
        <v>45841</v>
      </c>
      <c r="H63" s="5">
        <v>45852</v>
      </c>
      <c r="I63" s="5">
        <v>45853</v>
      </c>
      <c r="J63" s="7">
        <v>14529445.869999999</v>
      </c>
      <c r="K63" s="7">
        <v>12560705.949999999</v>
      </c>
      <c r="L63" s="8">
        <v>-13.55</v>
      </c>
      <c r="M63" s="4" t="s">
        <v>25</v>
      </c>
      <c r="N63" s="5">
        <v>45863</v>
      </c>
      <c r="O63" s="6" t="s">
        <v>18</v>
      </c>
      <c r="P63" s="15" t="s">
        <v>363</v>
      </c>
      <c r="Q63" s="14">
        <v>45877</v>
      </c>
      <c r="R63" s="12">
        <v>8</v>
      </c>
      <c r="S63" s="4">
        <v>1256</v>
      </c>
      <c r="T63" s="14">
        <v>45903</v>
      </c>
      <c r="U63" s="4"/>
      <c r="V63" s="13"/>
      <c r="W63" s="13"/>
      <c r="X63" s="4"/>
      <c r="Y63" s="4"/>
      <c r="AA63" s="9"/>
      <c r="AB63" s="5"/>
      <c r="AC63" s="11"/>
      <c r="AD63" s="11"/>
      <c r="AF63" s="9"/>
      <c r="AG63" s="11"/>
      <c r="AH63" s="4"/>
    </row>
    <row r="64" spans="1:35" ht="57.6" hidden="1" x14ac:dyDescent="0.3">
      <c r="A64" s="4" t="s">
        <v>22</v>
      </c>
      <c r="B64" s="4">
        <v>15</v>
      </c>
      <c r="C64" s="4">
        <v>10</v>
      </c>
      <c r="D64" s="6" t="s">
        <v>404</v>
      </c>
      <c r="E64" s="4" t="s">
        <v>3</v>
      </c>
      <c r="F64" s="4">
        <v>213315</v>
      </c>
      <c r="G64" s="5">
        <v>45875</v>
      </c>
      <c r="H64" s="5">
        <v>45887</v>
      </c>
      <c r="I64" s="5">
        <v>45888</v>
      </c>
      <c r="J64" s="7">
        <v>1253372.56</v>
      </c>
      <c r="K64" s="7">
        <v>866331.11</v>
      </c>
      <c r="L64" s="8">
        <v>-30.88</v>
      </c>
      <c r="M64" s="4" t="s">
        <v>267</v>
      </c>
      <c r="N64" s="5"/>
      <c r="O64" s="6"/>
      <c r="P64" s="6"/>
      <c r="R64" s="12">
        <v>1</v>
      </c>
      <c r="S64" s="4">
        <v>1339</v>
      </c>
      <c r="T64" s="14">
        <v>45915</v>
      </c>
      <c r="U64" s="4"/>
      <c r="V64" s="13"/>
      <c r="W64" s="27"/>
      <c r="X64" s="4"/>
      <c r="Y64" s="4"/>
      <c r="AA64" s="9"/>
      <c r="AB64" s="5"/>
      <c r="AC64" s="11"/>
      <c r="AD64" s="11"/>
      <c r="AF64" s="9"/>
      <c r="AG64" s="11"/>
      <c r="AH64" s="4"/>
    </row>
    <row r="65" spans="1:34" ht="57.6" hidden="1" x14ac:dyDescent="0.3">
      <c r="A65" s="4" t="s">
        <v>22</v>
      </c>
      <c r="B65" s="4">
        <v>15</v>
      </c>
      <c r="C65" s="4">
        <v>13</v>
      </c>
      <c r="D65" s="6" t="s">
        <v>402</v>
      </c>
      <c r="E65" s="4" t="s">
        <v>3</v>
      </c>
      <c r="F65" s="4">
        <v>213388</v>
      </c>
      <c r="G65" s="5">
        <v>45875</v>
      </c>
      <c r="H65" s="5">
        <v>45887</v>
      </c>
      <c r="I65" s="5">
        <v>45888</v>
      </c>
      <c r="J65" s="7">
        <v>21756202.609999999</v>
      </c>
      <c r="K65" s="7">
        <v>21031721.059999999</v>
      </c>
      <c r="L65" s="8">
        <v>-3.33</v>
      </c>
      <c r="M65" s="4" t="s">
        <v>545</v>
      </c>
      <c r="N65" s="5"/>
      <c r="O65" s="25" t="s">
        <v>151</v>
      </c>
      <c r="P65" s="6" t="s">
        <v>459</v>
      </c>
      <c r="Q65" s="14">
        <v>45910</v>
      </c>
      <c r="R65" s="12"/>
      <c r="S65" s="4">
        <v>1572</v>
      </c>
      <c r="T65" s="14">
        <v>45981</v>
      </c>
      <c r="U65" s="4"/>
      <c r="V65" s="13"/>
      <c r="W65" s="13"/>
      <c r="X65" s="4"/>
      <c r="Y65" s="4"/>
      <c r="AA65" s="9"/>
      <c r="AB65" s="5"/>
      <c r="AC65" s="11"/>
      <c r="AD65" s="11"/>
      <c r="AF65" s="9"/>
      <c r="AG65" s="11"/>
      <c r="AH65" s="4"/>
    </row>
    <row r="66" spans="1:34" ht="43.2" hidden="1" x14ac:dyDescent="0.3">
      <c r="A66" s="4" t="s">
        <v>22</v>
      </c>
      <c r="B66" s="4">
        <v>15</v>
      </c>
      <c r="C66" s="4">
        <v>14</v>
      </c>
      <c r="D66" s="6" t="s">
        <v>401</v>
      </c>
      <c r="E66" s="4" t="s">
        <v>3</v>
      </c>
      <c r="F66" s="4">
        <v>213397</v>
      </c>
      <c r="G66" s="5">
        <v>45875</v>
      </c>
      <c r="H66" s="5">
        <v>45887</v>
      </c>
      <c r="I66" s="5">
        <v>45888</v>
      </c>
      <c r="J66" s="7">
        <v>13636075.76</v>
      </c>
      <c r="K66" s="7">
        <v>13181994.439999999</v>
      </c>
      <c r="L66" s="8">
        <v>-3.33</v>
      </c>
      <c r="M66" s="4" t="s">
        <v>545</v>
      </c>
      <c r="N66" s="5"/>
      <c r="O66" s="6" t="s">
        <v>18</v>
      </c>
      <c r="P66" s="15" t="s">
        <v>436</v>
      </c>
      <c r="Q66" s="14">
        <v>45903</v>
      </c>
      <c r="R66" s="12">
        <v>6</v>
      </c>
      <c r="S66" s="4">
        <v>1418</v>
      </c>
      <c r="T66" s="14">
        <v>45933</v>
      </c>
      <c r="U66" s="4"/>
      <c r="V66" s="13"/>
      <c r="W66" s="13"/>
      <c r="X66" s="4"/>
      <c r="Y66" s="4"/>
      <c r="AA66" s="9"/>
      <c r="AB66" s="5"/>
      <c r="AC66" s="11"/>
      <c r="AD66" s="11"/>
      <c r="AF66" s="9"/>
      <c r="AG66" s="11"/>
      <c r="AH66" s="4"/>
    </row>
    <row r="67" spans="1:34" ht="57.6" hidden="1" x14ac:dyDescent="0.3">
      <c r="A67" s="4" t="s">
        <v>22</v>
      </c>
      <c r="B67" s="4">
        <v>17</v>
      </c>
      <c r="C67" s="4">
        <v>2</v>
      </c>
      <c r="D67" s="6" t="s">
        <v>528</v>
      </c>
      <c r="E67" s="4" t="s">
        <v>6</v>
      </c>
      <c r="F67" s="4">
        <v>221190</v>
      </c>
      <c r="G67" s="5">
        <v>45903</v>
      </c>
      <c r="H67" s="5">
        <v>45915</v>
      </c>
      <c r="I67" s="5">
        <v>45916</v>
      </c>
      <c r="J67" s="7">
        <v>227072204.88999999</v>
      </c>
      <c r="K67" s="7">
        <v>237313161.33000001</v>
      </c>
      <c r="L67" s="8">
        <v>4.51</v>
      </c>
      <c r="M67" s="4" t="s">
        <v>524</v>
      </c>
      <c r="N67" s="5"/>
      <c r="O67" s="25" t="s">
        <v>151</v>
      </c>
      <c r="P67" s="6" t="s">
        <v>526</v>
      </c>
      <c r="Q67" s="14" t="s">
        <v>527</v>
      </c>
      <c r="R67" s="12">
        <v>11</v>
      </c>
      <c r="S67" s="4">
        <v>44</v>
      </c>
      <c r="T67" s="14">
        <v>46035</v>
      </c>
      <c r="U67" s="4"/>
      <c r="V67" s="13"/>
      <c r="W67" s="13"/>
      <c r="X67" s="4"/>
      <c r="Y67" s="4"/>
      <c r="AA67" s="9"/>
      <c r="AB67" s="5"/>
      <c r="AC67" s="11"/>
      <c r="AD67" s="11"/>
      <c r="AF67" s="9"/>
      <c r="AG67" s="11"/>
      <c r="AH67" s="4"/>
    </row>
    <row r="68" spans="1:34" ht="43.2" x14ac:dyDescent="0.3">
      <c r="A68" s="4" t="s">
        <v>22</v>
      </c>
      <c r="B68" s="4">
        <v>17</v>
      </c>
      <c r="C68" s="4">
        <v>5</v>
      </c>
      <c r="D68" s="6" t="s">
        <v>427</v>
      </c>
      <c r="E68" s="4" t="s">
        <v>212</v>
      </c>
      <c r="F68" s="4">
        <v>221194</v>
      </c>
      <c r="G68" s="5">
        <v>45903</v>
      </c>
      <c r="H68" s="5">
        <v>45915</v>
      </c>
      <c r="I68" s="5">
        <v>45916</v>
      </c>
      <c r="J68" s="7">
        <v>11516943.289999999</v>
      </c>
      <c r="K68" s="7">
        <v>8274923.75</v>
      </c>
      <c r="L68" s="8">
        <v>-28.15</v>
      </c>
      <c r="M68" s="4" t="s">
        <v>148</v>
      </c>
      <c r="N68" s="5">
        <v>45924</v>
      </c>
      <c r="O68" s="6" t="s">
        <v>18</v>
      </c>
      <c r="P68" s="15" t="s">
        <v>454</v>
      </c>
      <c r="Q68" s="14">
        <v>45933</v>
      </c>
      <c r="R68" s="12">
        <v>6</v>
      </c>
      <c r="S68" s="4">
        <v>1521</v>
      </c>
      <c r="T68" s="14">
        <v>45972</v>
      </c>
      <c r="U68" s="4"/>
      <c r="V68" s="13"/>
      <c r="W68" s="13"/>
      <c r="X68" s="4"/>
      <c r="Y68" s="4"/>
      <c r="AA68" s="9"/>
      <c r="AB68" s="5"/>
      <c r="AC68" s="11"/>
      <c r="AD68" s="11"/>
      <c r="AF68" s="9"/>
      <c r="AG68" s="11"/>
      <c r="AH68" s="4"/>
    </row>
    <row r="69" spans="1:34" ht="43.2" hidden="1" x14ac:dyDescent="0.3">
      <c r="A69" s="4" t="s">
        <v>22</v>
      </c>
      <c r="B69" s="4">
        <v>17</v>
      </c>
      <c r="C69" s="4">
        <v>8</v>
      </c>
      <c r="D69" s="6" t="s">
        <v>429</v>
      </c>
      <c r="E69" s="4" t="s">
        <v>177</v>
      </c>
      <c r="F69" s="4">
        <v>221660</v>
      </c>
      <c r="G69" s="5">
        <v>45903</v>
      </c>
      <c r="H69" s="5">
        <v>45915</v>
      </c>
      <c r="I69" s="5">
        <v>45916</v>
      </c>
      <c r="J69" s="7">
        <v>72589353.980000004</v>
      </c>
      <c r="K69" s="7">
        <v>65337677.520000003</v>
      </c>
      <c r="L69" s="8">
        <v>-9.99</v>
      </c>
      <c r="M69" s="4" t="s">
        <v>382</v>
      </c>
      <c r="N69" s="5">
        <v>45924</v>
      </c>
      <c r="O69" s="25" t="s">
        <v>151</v>
      </c>
      <c r="P69" s="6" t="s">
        <v>523</v>
      </c>
      <c r="Q69" s="14">
        <v>46025</v>
      </c>
      <c r="R69" s="12">
        <v>9</v>
      </c>
      <c r="S69" s="4">
        <v>43</v>
      </c>
      <c r="T69" s="14">
        <v>46035</v>
      </c>
      <c r="U69" s="4"/>
      <c r="V69" s="13"/>
      <c r="W69" s="13"/>
      <c r="X69" s="4"/>
      <c r="Y69" s="4"/>
      <c r="AA69" s="9"/>
      <c r="AB69" s="5"/>
      <c r="AC69" s="11"/>
      <c r="AD69" s="11"/>
      <c r="AF69" s="9"/>
      <c r="AG69" s="11"/>
      <c r="AH69" s="4"/>
    </row>
    <row r="70" spans="1:34" ht="43.2" hidden="1" x14ac:dyDescent="0.3">
      <c r="A70" s="4" t="s">
        <v>22</v>
      </c>
      <c r="B70" s="4">
        <v>17</v>
      </c>
      <c r="C70" s="4">
        <v>12</v>
      </c>
      <c r="D70" s="6" t="s">
        <v>432</v>
      </c>
      <c r="E70" s="4" t="s">
        <v>6</v>
      </c>
      <c r="F70" s="4">
        <v>221203</v>
      </c>
      <c r="G70" s="5">
        <v>45903</v>
      </c>
      <c r="H70" s="5">
        <v>45915</v>
      </c>
      <c r="I70" s="5">
        <v>45916</v>
      </c>
      <c r="J70" s="7">
        <v>4285849.25</v>
      </c>
      <c r="K70" s="7">
        <v>3191243.35</v>
      </c>
      <c r="L70" s="8">
        <v>-25.54</v>
      </c>
      <c r="M70" s="4" t="s">
        <v>406</v>
      </c>
      <c r="N70" s="5"/>
      <c r="O70" s="6"/>
      <c r="P70" s="6"/>
      <c r="R70" s="12">
        <v>4</v>
      </c>
      <c r="S70" s="4">
        <v>1415</v>
      </c>
      <c r="T70" s="14">
        <v>45933</v>
      </c>
      <c r="U70" s="4"/>
      <c r="V70" s="13"/>
      <c r="W70" s="13"/>
      <c r="X70" s="4"/>
      <c r="Y70" s="4"/>
      <c r="AA70" s="9"/>
      <c r="AB70" s="5"/>
      <c r="AC70" s="11"/>
      <c r="AD70" s="11"/>
      <c r="AF70" s="9"/>
      <c r="AG70" s="11"/>
      <c r="AH70" s="4"/>
    </row>
    <row r="71" spans="1:34" ht="57.6" hidden="1" x14ac:dyDescent="0.3">
      <c r="A71" s="4" t="s">
        <v>22</v>
      </c>
      <c r="B71" s="4">
        <v>22</v>
      </c>
      <c r="C71" s="4">
        <v>2</v>
      </c>
      <c r="D71" s="6" t="s">
        <v>473</v>
      </c>
      <c r="E71" s="4" t="s">
        <v>0</v>
      </c>
      <c r="F71" s="4">
        <v>243353</v>
      </c>
      <c r="G71" s="5">
        <v>45975</v>
      </c>
      <c r="H71" s="5">
        <v>45987</v>
      </c>
      <c r="I71" s="5">
        <v>45988</v>
      </c>
      <c r="J71" s="7">
        <v>96162650.909999996</v>
      </c>
      <c r="K71" s="7">
        <v>105778916</v>
      </c>
      <c r="L71" s="8">
        <v>10</v>
      </c>
      <c r="M71" s="4" t="s">
        <v>545</v>
      </c>
      <c r="N71" s="5">
        <v>46050</v>
      </c>
      <c r="O71" s="6" t="s">
        <v>151</v>
      </c>
      <c r="P71" s="15" t="s">
        <v>586</v>
      </c>
      <c r="Q71" s="14">
        <v>46106</v>
      </c>
      <c r="R71" s="12">
        <v>11</v>
      </c>
      <c r="S71" s="4">
        <v>420</v>
      </c>
      <c r="T71" s="14">
        <v>46108</v>
      </c>
      <c r="U71" s="4"/>
      <c r="V71" s="13"/>
      <c r="W71" s="13"/>
      <c r="X71" s="4"/>
      <c r="Y71" s="4"/>
      <c r="AA71" s="9"/>
      <c r="AB71" s="5"/>
      <c r="AC71" s="11"/>
      <c r="AD71" s="11"/>
      <c r="AF71" s="9"/>
      <c r="AG71" s="11"/>
      <c r="AH71" s="4"/>
    </row>
    <row r="72" spans="1:34" ht="43.2" hidden="1" x14ac:dyDescent="0.3">
      <c r="A72" s="4" t="s">
        <v>22</v>
      </c>
      <c r="B72" s="4">
        <v>25</v>
      </c>
      <c r="C72" s="4">
        <v>8</v>
      </c>
      <c r="D72" s="6" t="s">
        <v>544</v>
      </c>
      <c r="E72" s="4" t="s">
        <v>3</v>
      </c>
      <c r="F72" s="4">
        <v>253535</v>
      </c>
      <c r="G72" s="5">
        <v>46004</v>
      </c>
      <c r="H72" s="5">
        <v>46016</v>
      </c>
      <c r="I72" s="5">
        <v>46017</v>
      </c>
      <c r="J72" s="7">
        <v>8044386.5800000001</v>
      </c>
      <c r="K72" s="7">
        <v>7508630.4299999997</v>
      </c>
      <c r="L72" s="8">
        <v>-6.66</v>
      </c>
      <c r="M72" s="4" t="s">
        <v>545</v>
      </c>
      <c r="N72" s="5">
        <v>46034</v>
      </c>
      <c r="O72" s="6" t="s">
        <v>18</v>
      </c>
      <c r="P72" s="15" t="s">
        <v>546</v>
      </c>
      <c r="Q72" s="14">
        <v>46038</v>
      </c>
      <c r="R72" s="12">
        <v>3</v>
      </c>
      <c r="S72" s="4">
        <v>111</v>
      </c>
      <c r="T72" s="14">
        <v>46052</v>
      </c>
      <c r="U72" s="4"/>
      <c r="V72" s="13"/>
      <c r="W72" s="13"/>
      <c r="X72" s="4"/>
      <c r="Y72" s="4"/>
      <c r="AA72" s="9"/>
      <c r="AB72" s="5"/>
      <c r="AC72" s="11"/>
      <c r="AD72" s="11"/>
      <c r="AF72" s="9"/>
      <c r="AG72" s="11"/>
      <c r="AH72" s="4"/>
    </row>
    <row r="73" spans="1:34" ht="43.2" hidden="1" x14ac:dyDescent="0.3">
      <c r="A73" s="4" t="s">
        <v>22</v>
      </c>
      <c r="B73" s="4">
        <v>27</v>
      </c>
      <c r="C73" s="4">
        <v>3</v>
      </c>
      <c r="D73" s="6" t="s">
        <v>553</v>
      </c>
      <c r="E73" s="4" t="s">
        <v>6</v>
      </c>
      <c r="F73" s="4">
        <v>263805</v>
      </c>
      <c r="G73" s="5">
        <v>46032</v>
      </c>
      <c r="H73" s="5">
        <v>46041</v>
      </c>
      <c r="I73" s="5">
        <v>46042</v>
      </c>
      <c r="J73" s="7">
        <v>17630070.370000001</v>
      </c>
      <c r="K73" s="7">
        <v>20256950.859999999</v>
      </c>
      <c r="L73" s="8">
        <v>14.9</v>
      </c>
      <c r="M73" s="4" t="s">
        <v>244</v>
      </c>
      <c r="N73" s="5">
        <v>46050</v>
      </c>
      <c r="O73" s="6" t="s">
        <v>18</v>
      </c>
      <c r="P73" s="15" t="s">
        <v>561</v>
      </c>
      <c r="Q73" s="14">
        <v>46076</v>
      </c>
      <c r="R73" s="12">
        <v>6</v>
      </c>
      <c r="S73" s="4">
        <v>299</v>
      </c>
      <c r="T73" s="14">
        <v>46077</v>
      </c>
      <c r="U73" s="4"/>
      <c r="V73" s="13"/>
      <c r="W73" s="13"/>
      <c r="X73" s="4"/>
      <c r="Y73" s="4"/>
      <c r="AA73" s="9"/>
      <c r="AB73" s="5"/>
      <c r="AC73" s="11"/>
      <c r="AD73" s="11"/>
      <c r="AF73" s="9"/>
      <c r="AG73" s="11"/>
      <c r="AH73" s="4"/>
    </row>
  </sheetData>
  <autoFilter ref="A1:AI73" xr:uid="{DE7627A7-C3E0-4ABD-8411-C9A63B3AA281}">
    <filterColumn colId="12">
      <filters>
        <filter val="CHAUHAN LALJIBHAI ARJANBHAI"/>
      </filters>
    </filterColumn>
  </autoFilter>
  <sortState xmlns:xlrd2="http://schemas.microsoft.com/office/spreadsheetml/2017/richdata2" ref="A2:AI50">
    <sortCondition ref="A2:A212"/>
    <sortCondition ref="B2:B212"/>
    <sortCondition ref="C2:C212"/>
  </sortState>
  <dataConsolidate/>
  <pageMargins left="0.70866141732283472" right="0.70866141732283472" top="0.74803149606299213" bottom="0.74803149606299213" header="0.31496062992125984" footer="0.31496062992125984"/>
  <pageSetup paperSize="9" scale="1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B9D3-838F-47CA-991A-B38EADBFAF83}">
  <dimension ref="A1:K20"/>
  <sheetViews>
    <sheetView zoomScale="85" zoomScaleNormal="85" workbookViewId="0">
      <pane ySplit="1" topLeftCell="A8" activePane="bottomLeft" state="frozen"/>
      <selection pane="bottomLeft"/>
    </sheetView>
  </sheetViews>
  <sheetFormatPr defaultRowHeight="14.4" x14ac:dyDescent="0.3"/>
  <cols>
    <col min="1" max="1" width="24.77734375" bestFit="1" customWidth="1"/>
    <col min="2" max="2" width="8.88671875" bestFit="1" customWidth="1"/>
    <col min="3" max="3" width="7" bestFit="1" customWidth="1"/>
    <col min="4" max="4" width="10.6640625" bestFit="1" customWidth="1"/>
    <col min="5" max="5" width="10.21875" bestFit="1" customWidth="1"/>
    <col min="6" max="6" width="19.5546875" bestFit="1" customWidth="1"/>
    <col min="7" max="7" width="10.21875" bestFit="1" customWidth="1"/>
    <col min="8" max="8" width="20.21875" bestFit="1" customWidth="1"/>
    <col min="9" max="10" width="20.21875" customWidth="1"/>
    <col min="11" max="11" width="9.88671875" customWidth="1"/>
  </cols>
  <sheetData>
    <row r="1" spans="1:11" s="21" customFormat="1" ht="36" x14ac:dyDescent="0.35">
      <c r="A1" s="19" t="s">
        <v>15</v>
      </c>
      <c r="B1" s="20" t="s">
        <v>36</v>
      </c>
      <c r="C1" s="20" t="s">
        <v>42</v>
      </c>
      <c r="D1" s="20" t="s">
        <v>31</v>
      </c>
      <c r="E1" s="20" t="s">
        <v>32</v>
      </c>
      <c r="F1" s="20" t="s">
        <v>33</v>
      </c>
      <c r="G1" s="20" t="s">
        <v>34</v>
      </c>
      <c r="H1" s="20" t="s">
        <v>35</v>
      </c>
      <c r="I1" s="35" t="s">
        <v>456</v>
      </c>
      <c r="J1" s="35" t="s">
        <v>455</v>
      </c>
      <c r="K1" s="35" t="s">
        <v>389</v>
      </c>
    </row>
    <row r="2" spans="1:11" s="18" customFormat="1" ht="15.6" x14ac:dyDescent="0.3">
      <c r="A2" s="26">
        <v>1</v>
      </c>
      <c r="B2" s="17">
        <v>22</v>
      </c>
      <c r="C2" s="17">
        <v>3</v>
      </c>
      <c r="D2" s="17">
        <v>20</v>
      </c>
      <c r="E2" s="17">
        <v>20</v>
      </c>
      <c r="F2" s="17">
        <v>20</v>
      </c>
      <c r="G2" s="17">
        <v>19</v>
      </c>
      <c r="H2" s="17">
        <v>11</v>
      </c>
      <c r="I2" s="17">
        <f>GETPIVOTDATA("Proposal Sent",$A$1,"Tender Notice No.",1)-GETPIVOTDATA("Tender Approved",$A$1,"Tender Notice No.",1)</f>
        <v>0</v>
      </c>
      <c r="J2" s="17"/>
      <c r="K2" s="17">
        <f>GETPIVOTDATA("LoA Sent",$A$1,"Tender Notice No.",1)-GETPIVOTDATA("Work Order Given",$A$1,"Tender Notice No.",1)</f>
        <v>8</v>
      </c>
    </row>
    <row r="3" spans="1:11" s="18" customFormat="1" ht="15.6" x14ac:dyDescent="0.3">
      <c r="A3" s="26">
        <v>2</v>
      </c>
      <c r="B3" s="17">
        <v>20</v>
      </c>
      <c r="C3" s="17">
        <v>2</v>
      </c>
      <c r="D3" s="17">
        <v>18</v>
      </c>
      <c r="E3" s="17">
        <v>18</v>
      </c>
      <c r="F3" s="17">
        <v>18</v>
      </c>
      <c r="G3" s="17">
        <v>18</v>
      </c>
      <c r="H3" s="17">
        <v>8</v>
      </c>
      <c r="I3" s="17">
        <f>GETPIVOTDATA("Proposal Sent",$A$1,"Tender Notice No.",2)-GETPIVOTDATA("Tender Approved",$A$1,"Tender Notice No.",2)</f>
        <v>0</v>
      </c>
      <c r="J3" s="17"/>
      <c r="K3" s="17">
        <f>GETPIVOTDATA("LoA Sent",$A$1,"Tender Notice No.",2)-GETPIVOTDATA("Work Order Given",$A$1,"Tender Notice No.",2)</f>
        <v>10</v>
      </c>
    </row>
    <row r="4" spans="1:11" s="18" customFormat="1" ht="15.6" x14ac:dyDescent="0.3">
      <c r="A4" s="26">
        <v>3</v>
      </c>
      <c r="B4" s="17">
        <v>19</v>
      </c>
      <c r="C4" s="17">
        <v>14</v>
      </c>
      <c r="D4" s="17">
        <v>5</v>
      </c>
      <c r="E4" s="17"/>
      <c r="F4" s="17"/>
      <c r="G4" s="17">
        <v>5</v>
      </c>
      <c r="H4" s="17">
        <v>5</v>
      </c>
      <c r="I4" s="17">
        <f>GETPIVOTDATA("Proposal Sent",$A$1,"Tender Notice No.",3)-GETPIVOTDATA("Tender Approved",$A$1,"Tender Notice No.",3)</f>
        <v>0</v>
      </c>
      <c r="J4" s="17"/>
      <c r="K4" s="17">
        <f>GETPIVOTDATA("LoA Sent",$A$1,"Tender Notice No.",3)-GETPIVOTDATA("Work Order Given",$A$1,"Tender Notice No.",3)</f>
        <v>0</v>
      </c>
    </row>
    <row r="5" spans="1:11" s="18" customFormat="1" ht="15.6" x14ac:dyDescent="0.3">
      <c r="A5" s="26">
        <v>4</v>
      </c>
      <c r="B5" s="17">
        <v>42</v>
      </c>
      <c r="C5" s="17">
        <v>24</v>
      </c>
      <c r="D5" s="17">
        <v>18</v>
      </c>
      <c r="E5" s="17"/>
      <c r="F5" s="17"/>
      <c r="G5" s="17">
        <v>18</v>
      </c>
      <c r="H5" s="17">
        <v>12</v>
      </c>
      <c r="I5" s="17">
        <f>GETPIVOTDATA("Proposal Sent",$A$1,"Tender Notice No.",4)-GETPIVOTDATA("Tender Approved",$A$1,"Tender Notice No.",4)</f>
        <v>0</v>
      </c>
      <c r="J5" s="17"/>
      <c r="K5" s="17">
        <f>GETPIVOTDATA("LoA Sent",$A$1,"Tender Notice No.",4)-GETPIVOTDATA("Work Order Given",$A$1,"Tender Notice No.",4)</f>
        <v>6</v>
      </c>
    </row>
    <row r="6" spans="1:11" ht="15.6" x14ac:dyDescent="0.3">
      <c r="A6" s="26">
        <v>5</v>
      </c>
      <c r="B6" s="17">
        <v>1</v>
      </c>
      <c r="C6" s="17">
        <v>1</v>
      </c>
      <c r="D6" s="17"/>
      <c r="E6" s="17"/>
      <c r="F6" s="17"/>
      <c r="G6" s="17"/>
      <c r="H6" s="17"/>
      <c r="I6" s="17">
        <f t="shared" ref="I6:I20" si="0">GETPIVOTDATA("Proposal Sent",$A$1,"Tender Notice No.",3)-GETPIVOTDATA("Tender Approved",$A$1,"Tender Notice No.",3)</f>
        <v>0</v>
      </c>
      <c r="J6" s="17"/>
      <c r="K6" s="17"/>
    </row>
    <row r="7" spans="1:11" ht="15.6" x14ac:dyDescent="0.3">
      <c r="A7" s="26">
        <v>6</v>
      </c>
      <c r="B7" s="17">
        <v>1</v>
      </c>
      <c r="C7" s="17"/>
      <c r="D7" s="17"/>
      <c r="E7" s="17"/>
      <c r="F7" s="17"/>
      <c r="G7" s="17"/>
      <c r="H7" s="17">
        <v>1</v>
      </c>
      <c r="I7" s="17">
        <f t="shared" si="0"/>
        <v>0</v>
      </c>
      <c r="J7" s="17"/>
      <c r="K7" s="17"/>
    </row>
    <row r="8" spans="1:11" ht="15.6" x14ac:dyDescent="0.3">
      <c r="A8" s="26">
        <v>7</v>
      </c>
      <c r="B8" s="17">
        <v>1</v>
      </c>
      <c r="C8" s="17"/>
      <c r="D8" s="17"/>
      <c r="E8" s="17">
        <v>1</v>
      </c>
      <c r="F8" s="17"/>
      <c r="G8" s="17"/>
      <c r="H8" s="17"/>
      <c r="I8" s="17">
        <f t="shared" si="0"/>
        <v>0</v>
      </c>
      <c r="J8" s="17"/>
      <c r="K8" s="17"/>
    </row>
    <row r="9" spans="1:11" ht="15.6" x14ac:dyDescent="0.3">
      <c r="A9" s="26">
        <v>8</v>
      </c>
      <c r="B9" s="17">
        <v>141</v>
      </c>
      <c r="C9" s="17">
        <v>43</v>
      </c>
      <c r="D9" s="17">
        <v>98</v>
      </c>
      <c r="E9" s="17"/>
      <c r="F9" s="17"/>
      <c r="G9" s="17">
        <v>98</v>
      </c>
      <c r="H9" s="17">
        <v>76</v>
      </c>
      <c r="I9" s="17">
        <f t="shared" si="0"/>
        <v>0</v>
      </c>
      <c r="J9" s="17"/>
      <c r="K9" s="17">
        <f>GETPIVOTDATA("LoA Sent",$A$1,"Tender Notice No.",8)-GETPIVOTDATA("Work Order Given",$A$1,"Tender Notice No.",8)</f>
        <v>22</v>
      </c>
    </row>
    <row r="10" spans="1:11" ht="15.6" x14ac:dyDescent="0.3">
      <c r="A10" s="26">
        <v>9</v>
      </c>
      <c r="B10" s="17">
        <v>15</v>
      </c>
      <c r="C10" s="17">
        <v>3</v>
      </c>
      <c r="D10" s="17">
        <v>12</v>
      </c>
      <c r="E10" s="17">
        <v>12</v>
      </c>
      <c r="F10" s="17">
        <v>12</v>
      </c>
      <c r="G10" s="17">
        <v>12</v>
      </c>
      <c r="H10" s="17">
        <v>2</v>
      </c>
      <c r="I10" s="17">
        <f t="shared" si="0"/>
        <v>0</v>
      </c>
      <c r="J10" s="17"/>
      <c r="K10" s="17">
        <f>GETPIVOTDATA("LoA Sent",$A$1,"Tender Notice No.",9)-GETPIVOTDATA("Work Order Given",$A$1,"Tender Notice No.",9)</f>
        <v>10</v>
      </c>
    </row>
    <row r="11" spans="1:11" ht="15.6" x14ac:dyDescent="0.3">
      <c r="A11" s="26">
        <v>10</v>
      </c>
      <c r="B11" s="17">
        <v>2</v>
      </c>
      <c r="C11" s="17">
        <v>2</v>
      </c>
      <c r="D11" s="17"/>
      <c r="E11" s="17"/>
      <c r="F11" s="17"/>
      <c r="G11" s="17"/>
      <c r="H11" s="17"/>
      <c r="I11" s="17">
        <f t="shared" si="0"/>
        <v>0</v>
      </c>
      <c r="J11" s="17"/>
      <c r="K11" s="17"/>
    </row>
    <row r="12" spans="1:11" ht="15.6" x14ac:dyDescent="0.3">
      <c r="A12" s="26">
        <v>11</v>
      </c>
      <c r="B12" s="17">
        <v>14</v>
      </c>
      <c r="C12" s="17">
        <v>12</v>
      </c>
      <c r="D12" s="17">
        <v>2</v>
      </c>
      <c r="E12" s="17"/>
      <c r="F12" s="17"/>
      <c r="G12" s="17">
        <v>2</v>
      </c>
      <c r="H12" s="17">
        <v>1</v>
      </c>
      <c r="I12" s="17">
        <f t="shared" si="0"/>
        <v>0</v>
      </c>
      <c r="J12" s="17"/>
      <c r="K12" s="17">
        <f>GETPIVOTDATA("LoA Sent",$A$1,"Tender Notice No.",11)-GETPIVOTDATA("Work Order Given",$A$1,"Tender Notice No.",11)</f>
        <v>1</v>
      </c>
    </row>
    <row r="13" spans="1:11" ht="15.6" x14ac:dyDescent="0.3">
      <c r="A13" s="26">
        <v>12</v>
      </c>
      <c r="B13" s="17">
        <v>2</v>
      </c>
      <c r="C13" s="17"/>
      <c r="D13" s="17">
        <v>2</v>
      </c>
      <c r="E13" s="17">
        <v>2</v>
      </c>
      <c r="F13" s="17">
        <v>2</v>
      </c>
      <c r="G13" s="17">
        <v>1</v>
      </c>
      <c r="H13" s="17"/>
      <c r="I13" s="17">
        <f t="shared" si="0"/>
        <v>0</v>
      </c>
      <c r="J13" s="17"/>
      <c r="K13" s="17"/>
    </row>
    <row r="14" spans="1:11" ht="15.6" x14ac:dyDescent="0.3">
      <c r="A14" s="26">
        <v>13</v>
      </c>
      <c r="B14" s="17">
        <v>1</v>
      </c>
      <c r="C14" s="17">
        <v>1</v>
      </c>
      <c r="D14" s="17"/>
      <c r="E14" s="17"/>
      <c r="F14" s="17"/>
      <c r="G14" s="17"/>
      <c r="H14" s="17"/>
      <c r="I14" s="17">
        <f t="shared" si="0"/>
        <v>0</v>
      </c>
      <c r="J14" s="17"/>
      <c r="K14" s="17"/>
    </row>
    <row r="15" spans="1:11" ht="15.6" x14ac:dyDescent="0.3">
      <c r="A15" s="26">
        <v>14</v>
      </c>
      <c r="B15" s="17">
        <v>55</v>
      </c>
      <c r="C15" s="17">
        <v>8</v>
      </c>
      <c r="D15" s="17">
        <v>47</v>
      </c>
      <c r="E15" s="17"/>
      <c r="F15" s="17"/>
      <c r="G15" s="17">
        <v>47</v>
      </c>
      <c r="H15" s="17">
        <v>19</v>
      </c>
      <c r="I15" s="17">
        <f t="shared" si="0"/>
        <v>0</v>
      </c>
      <c r="J15" s="17"/>
      <c r="K15" s="17">
        <f>GETPIVOTDATA("LoA Sent",$A$1,"Tender Notice No.",14)-GETPIVOTDATA("Work Order Given",$A$1,"Tender Notice No.",14)</f>
        <v>28</v>
      </c>
    </row>
    <row r="16" spans="1:11" ht="15.6" x14ac:dyDescent="0.3">
      <c r="A16" s="26">
        <v>15</v>
      </c>
      <c r="B16" s="17">
        <v>14</v>
      </c>
      <c r="C16" s="17">
        <v>1</v>
      </c>
      <c r="D16" s="17">
        <v>13</v>
      </c>
      <c r="E16" s="17"/>
      <c r="F16" s="17">
        <v>1</v>
      </c>
      <c r="G16" s="17">
        <v>11</v>
      </c>
      <c r="H16" s="17">
        <v>5</v>
      </c>
      <c r="I16" s="17">
        <f t="shared" si="0"/>
        <v>0</v>
      </c>
      <c r="J16" s="17"/>
      <c r="K16" s="17">
        <f>GETPIVOTDATA("LoA Sent",$A$1,"Tender Notice No.",15)-GETPIVOTDATA("Work Order Given",$A$1,"Tender Notice No.",15)</f>
        <v>6</v>
      </c>
    </row>
    <row r="17" spans="1:11" ht="15.6" x14ac:dyDescent="0.3">
      <c r="A17" s="26">
        <v>16</v>
      </c>
      <c r="B17" s="17">
        <v>1</v>
      </c>
      <c r="C17" s="17"/>
      <c r="D17" s="17"/>
      <c r="E17" s="17"/>
      <c r="F17" s="17"/>
      <c r="G17" s="17"/>
      <c r="H17" s="17"/>
      <c r="I17" s="17">
        <f t="shared" si="0"/>
        <v>0</v>
      </c>
      <c r="J17" s="17"/>
      <c r="K17" s="17"/>
    </row>
    <row r="18" spans="1:11" ht="15.6" x14ac:dyDescent="0.3">
      <c r="A18" s="26">
        <v>17</v>
      </c>
      <c r="B18" s="17">
        <v>26</v>
      </c>
      <c r="C18" s="17"/>
      <c r="D18" s="17">
        <v>16</v>
      </c>
      <c r="E18" s="17">
        <v>8</v>
      </c>
      <c r="F18" s="17">
        <v>9</v>
      </c>
      <c r="G18" s="17">
        <v>13</v>
      </c>
      <c r="H18" s="17"/>
      <c r="I18" s="17">
        <f t="shared" si="0"/>
        <v>0</v>
      </c>
      <c r="J18" s="17"/>
      <c r="K18" s="17"/>
    </row>
    <row r="19" spans="1:11" ht="15.6" x14ac:dyDescent="0.3">
      <c r="A19" s="26" t="s">
        <v>30</v>
      </c>
      <c r="B19" s="17"/>
      <c r="C19" s="17"/>
      <c r="D19" s="17"/>
      <c r="E19" s="17"/>
      <c r="F19" s="17"/>
      <c r="G19" s="17"/>
      <c r="H19" s="17"/>
      <c r="I19" s="17">
        <f t="shared" si="0"/>
        <v>0</v>
      </c>
      <c r="J19" s="17"/>
      <c r="K19" s="17"/>
    </row>
    <row r="20" spans="1:11" ht="15.6" x14ac:dyDescent="0.3">
      <c r="A20" s="17" t="s">
        <v>16</v>
      </c>
      <c r="B20" s="17">
        <v>377</v>
      </c>
      <c r="C20" s="17">
        <v>114</v>
      </c>
      <c r="D20" s="17">
        <v>251</v>
      </c>
      <c r="E20" s="17">
        <v>61</v>
      </c>
      <c r="F20" s="17">
        <v>62</v>
      </c>
      <c r="G20" s="17">
        <v>244</v>
      </c>
      <c r="H20" s="17">
        <v>140</v>
      </c>
      <c r="I20" s="17">
        <f t="shared" si="0"/>
        <v>0</v>
      </c>
      <c r="J20" s="36"/>
    </row>
  </sheetData>
  <pageMargins left="0.7" right="0.7" top="0.75" bottom="0.75" header="0.3" footer="0.3"/>
  <pageSetup paperSize="9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7D21-CB6D-411B-AB55-1B38D4A660F3}">
  <dimension ref="A1:B81"/>
  <sheetViews>
    <sheetView topLeftCell="A10" workbookViewId="0">
      <selection activeCell="B9" sqref="B9"/>
    </sheetView>
  </sheetViews>
  <sheetFormatPr defaultRowHeight="14.4" x14ac:dyDescent="0.3"/>
  <cols>
    <col min="1" max="1" width="40.33203125" bestFit="1" customWidth="1"/>
    <col min="2" max="2" width="19.109375" style="37" bestFit="1" customWidth="1"/>
    <col min="3" max="3" width="26.77734375" bestFit="1" customWidth="1"/>
  </cols>
  <sheetData>
    <row r="1" spans="1:2" x14ac:dyDescent="0.3">
      <c r="A1" s="23" t="s">
        <v>149</v>
      </c>
      <c r="B1" s="37" t="s">
        <v>150</v>
      </c>
    </row>
    <row r="2" spans="1:2" x14ac:dyDescent="0.3">
      <c r="A2" s="24" t="s">
        <v>382</v>
      </c>
      <c r="B2" s="37">
        <v>399401139.09999996</v>
      </c>
    </row>
    <row r="3" spans="1:2" x14ac:dyDescent="0.3">
      <c r="A3" s="24" t="s">
        <v>24</v>
      </c>
      <c r="B3" s="37">
        <v>300812719.50999999</v>
      </c>
    </row>
    <row r="4" spans="1:2" x14ac:dyDescent="0.3">
      <c r="A4" s="24" t="s">
        <v>8</v>
      </c>
      <c r="B4" s="37">
        <v>275270382.50999999</v>
      </c>
    </row>
    <row r="5" spans="1:2" x14ac:dyDescent="0.3">
      <c r="A5" s="24" t="s">
        <v>381</v>
      </c>
      <c r="B5" s="37">
        <v>258992401.19</v>
      </c>
    </row>
    <row r="6" spans="1:2" x14ac:dyDescent="0.3">
      <c r="A6" s="24" t="s">
        <v>9</v>
      </c>
      <c r="B6" s="37">
        <v>138371370.30000001</v>
      </c>
    </row>
    <row r="7" spans="1:2" x14ac:dyDescent="0.3">
      <c r="A7" s="24" t="s">
        <v>140</v>
      </c>
      <c r="B7" s="37">
        <v>129293749.28</v>
      </c>
    </row>
    <row r="8" spans="1:2" x14ac:dyDescent="0.3">
      <c r="A8" s="24" t="s">
        <v>144</v>
      </c>
      <c r="B8" s="37">
        <v>102621860.94999999</v>
      </c>
    </row>
    <row r="9" spans="1:2" x14ac:dyDescent="0.3">
      <c r="A9" s="24" t="s">
        <v>104</v>
      </c>
      <c r="B9" s="37">
        <v>94929218.709999993</v>
      </c>
    </row>
    <row r="10" spans="1:2" x14ac:dyDescent="0.3">
      <c r="A10" s="24" t="s">
        <v>12</v>
      </c>
      <c r="B10" s="37">
        <v>79640192.829999983</v>
      </c>
    </row>
    <row r="11" spans="1:2" x14ac:dyDescent="0.3">
      <c r="A11" s="24" t="s">
        <v>157</v>
      </c>
      <c r="B11" s="37">
        <v>79281566.710000008</v>
      </c>
    </row>
    <row r="12" spans="1:2" x14ac:dyDescent="0.3">
      <c r="A12" s="24" t="s">
        <v>146</v>
      </c>
      <c r="B12" s="37">
        <v>38842311.780000001</v>
      </c>
    </row>
    <row r="13" spans="1:2" x14ac:dyDescent="0.3">
      <c r="A13" s="24" t="s">
        <v>405</v>
      </c>
      <c r="B13" s="37">
        <v>34873347.799999997</v>
      </c>
    </row>
    <row r="14" spans="1:2" x14ac:dyDescent="0.3">
      <c r="A14" s="24" t="s">
        <v>76</v>
      </c>
      <c r="B14" s="37">
        <v>25288695.289999999</v>
      </c>
    </row>
    <row r="15" spans="1:2" x14ac:dyDescent="0.3">
      <c r="A15" s="24" t="s">
        <v>407</v>
      </c>
      <c r="B15" s="37">
        <v>24866109.82</v>
      </c>
    </row>
    <row r="16" spans="1:2" x14ac:dyDescent="0.3">
      <c r="A16" s="24" t="s">
        <v>179</v>
      </c>
      <c r="B16" s="37">
        <v>22975873.989999998</v>
      </c>
    </row>
    <row r="17" spans="1:2" x14ac:dyDescent="0.3">
      <c r="A17" s="24" t="s">
        <v>11</v>
      </c>
      <c r="B17" s="37">
        <v>22036708.380000003</v>
      </c>
    </row>
    <row r="18" spans="1:2" x14ac:dyDescent="0.3">
      <c r="A18" s="24" t="s">
        <v>252</v>
      </c>
      <c r="B18" s="37">
        <v>21884441.09</v>
      </c>
    </row>
    <row r="19" spans="1:2" x14ac:dyDescent="0.3">
      <c r="A19" s="24" t="s">
        <v>264</v>
      </c>
      <c r="B19" s="37">
        <v>20681736.219999999</v>
      </c>
    </row>
    <row r="20" spans="1:2" x14ac:dyDescent="0.3">
      <c r="A20" s="24" t="s">
        <v>375</v>
      </c>
      <c r="B20" s="37">
        <v>19821781.309999999</v>
      </c>
    </row>
    <row r="21" spans="1:2" x14ac:dyDescent="0.3">
      <c r="A21" s="24" t="s">
        <v>25</v>
      </c>
      <c r="B21" s="37">
        <v>18793306.579999998</v>
      </c>
    </row>
    <row r="22" spans="1:2" x14ac:dyDescent="0.3">
      <c r="A22" s="24" t="s">
        <v>178</v>
      </c>
      <c r="B22" s="37">
        <v>18669377.57</v>
      </c>
    </row>
    <row r="23" spans="1:2" x14ac:dyDescent="0.3">
      <c r="A23" s="24" t="s">
        <v>143</v>
      </c>
      <c r="B23" s="37">
        <v>18437865.030000001</v>
      </c>
    </row>
    <row r="24" spans="1:2" x14ac:dyDescent="0.3">
      <c r="A24" s="24" t="s">
        <v>244</v>
      </c>
      <c r="B24" s="37">
        <v>18116222.609999999</v>
      </c>
    </row>
    <row r="25" spans="1:2" x14ac:dyDescent="0.3">
      <c r="A25" s="24" t="s">
        <v>148</v>
      </c>
      <c r="B25" s="37">
        <v>16899339.219999999</v>
      </c>
    </row>
    <row r="26" spans="1:2" x14ac:dyDescent="0.3">
      <c r="A26" s="24" t="s">
        <v>406</v>
      </c>
      <c r="B26" s="37">
        <v>12333302.049999999</v>
      </c>
    </row>
    <row r="27" spans="1:2" x14ac:dyDescent="0.3">
      <c r="A27" s="24" t="s">
        <v>183</v>
      </c>
      <c r="B27" s="37">
        <v>12229626.18</v>
      </c>
    </row>
    <row r="28" spans="1:2" x14ac:dyDescent="0.3">
      <c r="A28" s="24" t="s">
        <v>376</v>
      </c>
      <c r="B28" s="37">
        <v>11667294.23</v>
      </c>
    </row>
    <row r="29" spans="1:2" x14ac:dyDescent="0.3">
      <c r="A29" s="24" t="s">
        <v>260</v>
      </c>
      <c r="B29" s="37">
        <v>11172724.310000001</v>
      </c>
    </row>
    <row r="30" spans="1:2" x14ac:dyDescent="0.3">
      <c r="A30" s="24" t="s">
        <v>147</v>
      </c>
      <c r="B30" s="37">
        <v>10662788.140000001</v>
      </c>
    </row>
    <row r="31" spans="1:2" x14ac:dyDescent="0.3">
      <c r="A31" s="24" t="s">
        <v>99</v>
      </c>
      <c r="B31" s="37">
        <v>9938740.0899999999</v>
      </c>
    </row>
    <row r="32" spans="1:2" x14ac:dyDescent="0.3">
      <c r="A32" s="24" t="s">
        <v>180</v>
      </c>
      <c r="B32" s="37">
        <v>9713504.8300000001</v>
      </c>
    </row>
    <row r="33" spans="1:2" x14ac:dyDescent="0.3">
      <c r="A33" s="24" t="s">
        <v>275</v>
      </c>
      <c r="B33" s="37">
        <v>9102003.9000000004</v>
      </c>
    </row>
    <row r="34" spans="1:2" x14ac:dyDescent="0.3">
      <c r="A34" s="24" t="s">
        <v>4</v>
      </c>
      <c r="B34" s="37">
        <v>8795331.3300000001</v>
      </c>
    </row>
    <row r="35" spans="1:2" x14ac:dyDescent="0.3">
      <c r="A35" s="24" t="s">
        <v>263</v>
      </c>
      <c r="B35" s="37">
        <v>8698883.6499999985</v>
      </c>
    </row>
    <row r="36" spans="1:2" x14ac:dyDescent="0.3">
      <c r="A36" s="24" t="s">
        <v>20</v>
      </c>
      <c r="B36" s="37">
        <v>8032501.29</v>
      </c>
    </row>
    <row r="37" spans="1:2" x14ac:dyDescent="0.3">
      <c r="A37" s="24" t="s">
        <v>265</v>
      </c>
      <c r="B37" s="37">
        <v>8011285.9500000002</v>
      </c>
    </row>
    <row r="38" spans="1:2" x14ac:dyDescent="0.3">
      <c r="A38" s="24" t="s">
        <v>258</v>
      </c>
      <c r="B38" s="37">
        <v>7808088.8200000003</v>
      </c>
    </row>
    <row r="39" spans="1:2" x14ac:dyDescent="0.3">
      <c r="A39" s="24" t="s">
        <v>256</v>
      </c>
      <c r="B39" s="37">
        <v>7663104.8100000005</v>
      </c>
    </row>
    <row r="40" spans="1:2" x14ac:dyDescent="0.3">
      <c r="A40" s="24" t="s">
        <v>268</v>
      </c>
      <c r="B40" s="37">
        <v>6814714.7400000002</v>
      </c>
    </row>
    <row r="41" spans="1:2" x14ac:dyDescent="0.3">
      <c r="A41" s="24" t="s">
        <v>94</v>
      </c>
      <c r="B41" s="37">
        <v>6525068.7599999998</v>
      </c>
    </row>
    <row r="42" spans="1:2" x14ac:dyDescent="0.3">
      <c r="A42" s="24" t="s">
        <v>181</v>
      </c>
      <c r="B42" s="37">
        <v>5908055.5999999996</v>
      </c>
    </row>
    <row r="43" spans="1:2" x14ac:dyDescent="0.3">
      <c r="A43" s="24" t="s">
        <v>182</v>
      </c>
      <c r="B43" s="37">
        <v>5870124.4000000004</v>
      </c>
    </row>
    <row r="44" spans="1:2" x14ac:dyDescent="0.3">
      <c r="A44" s="24" t="s">
        <v>254</v>
      </c>
      <c r="B44" s="37">
        <v>5811855.0099999998</v>
      </c>
    </row>
    <row r="45" spans="1:2" x14ac:dyDescent="0.3">
      <c r="A45" s="24" t="s">
        <v>373</v>
      </c>
      <c r="B45" s="37">
        <v>5806346.7699999996</v>
      </c>
    </row>
    <row r="46" spans="1:2" x14ac:dyDescent="0.3">
      <c r="A46" s="24" t="s">
        <v>369</v>
      </c>
      <c r="B46" s="37">
        <v>4734103.3900000006</v>
      </c>
    </row>
    <row r="47" spans="1:2" x14ac:dyDescent="0.3">
      <c r="A47" s="24" t="s">
        <v>259</v>
      </c>
      <c r="B47" s="37">
        <v>4540017.7</v>
      </c>
    </row>
    <row r="48" spans="1:2" x14ac:dyDescent="0.3">
      <c r="A48" s="24" t="s">
        <v>267</v>
      </c>
      <c r="B48" s="37">
        <v>4492107.6500000004</v>
      </c>
    </row>
    <row r="49" spans="1:2" x14ac:dyDescent="0.3">
      <c r="A49" s="24" t="s">
        <v>261</v>
      </c>
      <c r="B49" s="37">
        <v>4155710.28</v>
      </c>
    </row>
    <row r="50" spans="1:2" x14ac:dyDescent="0.3">
      <c r="A50" s="24" t="s">
        <v>272</v>
      </c>
      <c r="B50" s="37">
        <v>4013026.74</v>
      </c>
    </row>
    <row r="51" spans="1:2" x14ac:dyDescent="0.3">
      <c r="A51" s="24" t="s">
        <v>271</v>
      </c>
      <c r="B51" s="37">
        <v>3934613.1900000004</v>
      </c>
    </row>
    <row r="52" spans="1:2" x14ac:dyDescent="0.3">
      <c r="A52" s="24" t="s">
        <v>257</v>
      </c>
      <c r="B52" s="37">
        <v>3878870.93</v>
      </c>
    </row>
    <row r="53" spans="1:2" x14ac:dyDescent="0.3">
      <c r="A53" s="24" t="s">
        <v>270</v>
      </c>
      <c r="B53" s="37">
        <v>3870967.1799999997</v>
      </c>
    </row>
    <row r="54" spans="1:2" x14ac:dyDescent="0.3">
      <c r="A54" s="24" t="s">
        <v>274</v>
      </c>
      <c r="B54" s="37">
        <v>3854119.7</v>
      </c>
    </row>
    <row r="55" spans="1:2" x14ac:dyDescent="0.3">
      <c r="A55" s="24" t="s">
        <v>388</v>
      </c>
      <c r="B55" s="37">
        <v>3832072.4</v>
      </c>
    </row>
    <row r="56" spans="1:2" x14ac:dyDescent="0.3">
      <c r="A56" s="24" t="s">
        <v>266</v>
      </c>
      <c r="B56" s="37">
        <v>3804201.27</v>
      </c>
    </row>
    <row r="57" spans="1:2" x14ac:dyDescent="0.3">
      <c r="A57" s="24" t="s">
        <v>278</v>
      </c>
      <c r="B57" s="37">
        <v>3428644.63</v>
      </c>
    </row>
    <row r="58" spans="1:2" x14ac:dyDescent="0.3">
      <c r="A58" s="24" t="s">
        <v>89</v>
      </c>
      <c r="B58" s="37">
        <v>3005249.79</v>
      </c>
    </row>
    <row r="59" spans="1:2" x14ac:dyDescent="0.3">
      <c r="A59" s="24" t="s">
        <v>276</v>
      </c>
      <c r="B59" s="37">
        <v>2880130.57</v>
      </c>
    </row>
    <row r="60" spans="1:2" x14ac:dyDescent="0.3">
      <c r="A60" s="24" t="s">
        <v>277</v>
      </c>
      <c r="B60" s="37">
        <v>2715753.83</v>
      </c>
    </row>
    <row r="61" spans="1:2" x14ac:dyDescent="0.3">
      <c r="A61" s="24" t="s">
        <v>378</v>
      </c>
      <c r="B61" s="37">
        <v>2400346.15</v>
      </c>
    </row>
    <row r="62" spans="1:2" x14ac:dyDescent="0.3">
      <c r="A62" s="24" t="s">
        <v>86</v>
      </c>
      <c r="B62" s="37">
        <v>2222960.92</v>
      </c>
    </row>
    <row r="63" spans="1:2" x14ac:dyDescent="0.3">
      <c r="A63" s="24" t="s">
        <v>372</v>
      </c>
      <c r="B63" s="37">
        <v>2079935.08</v>
      </c>
    </row>
    <row r="64" spans="1:2" x14ac:dyDescent="0.3">
      <c r="A64" s="24" t="s">
        <v>66</v>
      </c>
      <c r="B64" s="37">
        <v>2063483.55</v>
      </c>
    </row>
    <row r="65" spans="1:2" x14ac:dyDescent="0.3">
      <c r="A65" s="24" t="s">
        <v>374</v>
      </c>
      <c r="B65" s="37">
        <v>2015249.1</v>
      </c>
    </row>
    <row r="66" spans="1:2" x14ac:dyDescent="0.3">
      <c r="A66" s="24" t="s">
        <v>176</v>
      </c>
      <c r="B66" s="37">
        <v>2013544</v>
      </c>
    </row>
    <row r="67" spans="1:2" x14ac:dyDescent="0.3">
      <c r="A67" s="24" t="s">
        <v>409</v>
      </c>
      <c r="B67" s="37">
        <v>1979682.21</v>
      </c>
    </row>
    <row r="68" spans="1:2" x14ac:dyDescent="0.3">
      <c r="A68" s="24" t="s">
        <v>377</v>
      </c>
      <c r="B68" s="37">
        <v>1954514.99</v>
      </c>
    </row>
    <row r="69" spans="1:2" x14ac:dyDescent="0.3">
      <c r="A69" s="24" t="s">
        <v>273</v>
      </c>
      <c r="B69" s="37">
        <v>1934339.62</v>
      </c>
    </row>
    <row r="70" spans="1:2" x14ac:dyDescent="0.3">
      <c r="A70" s="24" t="s">
        <v>360</v>
      </c>
      <c r="B70" s="37">
        <v>1897940.76</v>
      </c>
    </row>
    <row r="71" spans="1:2" x14ac:dyDescent="0.3">
      <c r="A71" s="24" t="s">
        <v>269</v>
      </c>
      <c r="B71" s="37">
        <v>1869237.66</v>
      </c>
    </row>
    <row r="72" spans="1:2" x14ac:dyDescent="0.3">
      <c r="A72" s="24" t="s">
        <v>262</v>
      </c>
      <c r="B72" s="37">
        <v>1864689.36</v>
      </c>
    </row>
    <row r="73" spans="1:2" x14ac:dyDescent="0.3">
      <c r="A73" s="24" t="s">
        <v>379</v>
      </c>
      <c r="B73" s="37">
        <v>1768459.02</v>
      </c>
    </row>
    <row r="74" spans="1:2" x14ac:dyDescent="0.3">
      <c r="A74" s="24" t="s">
        <v>289</v>
      </c>
      <c r="B74" s="37">
        <v>1547490.62</v>
      </c>
    </row>
    <row r="75" spans="1:2" x14ac:dyDescent="0.3">
      <c r="A75" s="24" t="s">
        <v>95</v>
      </c>
      <c r="B75" s="37">
        <v>1542064.85</v>
      </c>
    </row>
    <row r="76" spans="1:2" x14ac:dyDescent="0.3">
      <c r="A76" s="24" t="s">
        <v>410</v>
      </c>
      <c r="B76" s="37">
        <v>1458103.8</v>
      </c>
    </row>
    <row r="77" spans="1:2" x14ac:dyDescent="0.3">
      <c r="A77" s="24" t="s">
        <v>279</v>
      </c>
      <c r="B77" s="37">
        <v>1446921.49</v>
      </c>
    </row>
    <row r="78" spans="1:2" x14ac:dyDescent="0.3">
      <c r="A78" s="24" t="s">
        <v>380</v>
      </c>
      <c r="B78" s="37">
        <v>843400.87</v>
      </c>
    </row>
    <row r="79" spans="1:2" x14ac:dyDescent="0.3">
      <c r="A79" s="24" t="s">
        <v>85</v>
      </c>
      <c r="B79" s="37">
        <v>659085.79</v>
      </c>
    </row>
    <row r="80" spans="1:2" x14ac:dyDescent="0.3">
      <c r="A80" s="24" t="s">
        <v>30</v>
      </c>
    </row>
    <row r="81" spans="1:2" x14ac:dyDescent="0.3">
      <c r="A81" s="24" t="s">
        <v>16</v>
      </c>
      <c r="B81" s="37">
        <v>2444068101.73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D3D7A-55C1-45A8-8E9A-7A52941A35AB}">
  <dimension ref="A1:B10"/>
  <sheetViews>
    <sheetView workbookViewId="0">
      <selection activeCell="B5" sqref="B5"/>
    </sheetView>
  </sheetViews>
  <sheetFormatPr defaultRowHeight="14.4" x14ac:dyDescent="0.3"/>
  <cols>
    <col min="1" max="1" width="12.33203125" bestFit="1" customWidth="1"/>
    <col min="2" max="2" width="19.109375" bestFit="1" customWidth="1"/>
  </cols>
  <sheetData>
    <row r="1" spans="1:2" x14ac:dyDescent="0.3">
      <c r="A1" s="23" t="s">
        <v>149</v>
      </c>
      <c r="B1" t="s">
        <v>150</v>
      </c>
    </row>
    <row r="2" spans="1:2" x14ac:dyDescent="0.3">
      <c r="A2" s="24" t="s">
        <v>0</v>
      </c>
      <c r="B2" s="37">
        <v>845778302.27999997</v>
      </c>
    </row>
    <row r="3" spans="1:2" x14ac:dyDescent="0.3">
      <c r="A3" s="24" t="s">
        <v>6</v>
      </c>
      <c r="B3" s="37">
        <v>715019152.9400003</v>
      </c>
    </row>
    <row r="4" spans="1:2" x14ac:dyDescent="0.3">
      <c r="A4" s="24" t="s">
        <v>7</v>
      </c>
      <c r="B4" s="37">
        <v>293227898.65999997</v>
      </c>
    </row>
    <row r="5" spans="1:2" x14ac:dyDescent="0.3">
      <c r="A5" s="24" t="s">
        <v>2</v>
      </c>
      <c r="B5" s="37">
        <v>279199539.73999989</v>
      </c>
    </row>
    <row r="6" spans="1:2" x14ac:dyDescent="0.3">
      <c r="A6" s="24" t="s">
        <v>5</v>
      </c>
      <c r="B6" s="37">
        <v>228614203.05999994</v>
      </c>
    </row>
    <row r="7" spans="1:2" x14ac:dyDescent="0.3">
      <c r="A7" s="24" t="s">
        <v>3</v>
      </c>
      <c r="B7" s="37">
        <v>150772811.80999997</v>
      </c>
    </row>
    <row r="8" spans="1:2" x14ac:dyDescent="0.3">
      <c r="A8" s="24" t="s">
        <v>487</v>
      </c>
      <c r="B8" s="37">
        <v>1458103.8</v>
      </c>
    </row>
    <row r="9" spans="1:2" x14ac:dyDescent="0.3">
      <c r="A9" s="24" t="s">
        <v>30</v>
      </c>
      <c r="B9" s="37"/>
    </row>
    <row r="10" spans="1:2" x14ac:dyDescent="0.3">
      <c r="A10" s="24" t="s">
        <v>16</v>
      </c>
      <c r="B10" s="37">
        <v>2514070012.29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Agency List</vt:lpstr>
      <vt:lpstr>Tender</vt:lpstr>
      <vt:lpstr>Notice wise</vt:lpstr>
      <vt:lpstr>Agency wise</vt:lpstr>
      <vt:lpstr>Sub Division wise</vt:lpstr>
      <vt:lpstr>Tender!Print_Area</vt:lpstr>
      <vt:lpstr>Tender!Print_Titles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SITARAM</dc:creator>
  <cp:lastModifiedBy>DELL</cp:lastModifiedBy>
  <cp:lastPrinted>2026-03-30T13:12:05Z</cp:lastPrinted>
  <dcterms:created xsi:type="dcterms:W3CDTF">2015-06-05T18:17:20Z</dcterms:created>
  <dcterms:modified xsi:type="dcterms:W3CDTF">2026-03-31T18:29:08Z</dcterms:modified>
</cp:coreProperties>
</file>