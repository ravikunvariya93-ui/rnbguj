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howObjects="none" codeName="ThisWorkbook" hidePivotFieldList="1"/>
  <mc:AlternateContent xmlns:mc="http://schemas.openxmlformats.org/markup-compatibility/2006">
    <mc:Choice Requires="x15">
      <x15ac:absPath xmlns:x15ac="http://schemas.microsoft.com/office/spreadsheetml/2010/11/ac" url="D:\01-Tender Table\01-Marster File\02_2025-26\"/>
    </mc:Choice>
  </mc:AlternateContent>
  <xr:revisionPtr revIDLastSave="0" documentId="13_ncr:1_{4FBE852A-C5FE-4EC0-9EA4-9AA74AF4AD90}" xr6:coauthVersionLast="47" xr6:coauthVersionMax="47" xr10:uidLastSave="{00000000-0000-0000-0000-000000000000}"/>
  <bookViews>
    <workbookView xWindow="-110" yWindow="-110" windowWidth="19420" windowHeight="10300" activeTab="1" xr2:uid="{2461809B-7CC8-4CC2-A918-2A1ACF19AA2A}"/>
  </bookViews>
  <sheets>
    <sheet name="Contractor List" sheetId="12" r:id="rId1"/>
    <sheet name="Tender" sheetId="13" r:id="rId2"/>
    <sheet name="Sheet1" sheetId="17" r:id="rId3"/>
    <sheet name="Notice wise" sheetId="11" r:id="rId4"/>
    <sheet name="Agency wise" sheetId="14" r:id="rId5"/>
    <sheet name="Sub Division wise" sheetId="16" r:id="rId6"/>
  </sheets>
  <functionGroups builtInGroupCount="19"/>
  <definedNames>
    <definedName name="_xlnm._FilterDatabase" localSheetId="0" hidden="1">'Contractor List'!$A$1:$D$1</definedName>
    <definedName name="_xlnm._FilterDatabase" localSheetId="1" hidden="1">Tender!$A$1:$AL$472</definedName>
    <definedName name="_xlnm.Print_Area" localSheetId="1">Tender!$A$1:$AL$29</definedName>
    <definedName name="_xlnm.Print_Titles" localSheetId="1">Tender!$1:$1</definedName>
  </definedNames>
  <calcPr calcId="191029"/>
  <pivotCaches>
    <pivotCache cacheId="0" r:id="rId7"/>
    <pivotCache cacheId="1" r:id="rId8"/>
    <pivotCache cacheId="2"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64" i="13" l="1" a="1"/>
  <c r="L464" i="13"/>
  <c r="P464" i="13"/>
  <c r="F465" i="13" a="1"/>
  <c r="L465" i="13"/>
  <c r="P465" i="13"/>
  <c r="F467" i="13" a="1"/>
  <c r="L467" i="13"/>
  <c r="P467" i="13"/>
  <c r="F469" i="13" a="1"/>
  <c r="L469" i="13"/>
  <c r="P469" i="13"/>
  <c r="F470" i="13" a="1"/>
  <c r="L470" i="13"/>
  <c r="P470" i="13"/>
  <c r="F471" i="13" a="1"/>
  <c r="L471" i="13"/>
  <c r="P471" i="13"/>
  <c r="F472" i="13" a="1"/>
  <c r="L472" i="13"/>
  <c r="P472" i="13"/>
  <c r="F466" i="13" a="1"/>
  <c r="P466" i="13"/>
  <c r="F203" i="13" a="1"/>
  <c r="P203" i="13"/>
  <c r="F349" i="13" a="1"/>
  <c r="P349" i="13"/>
  <c r="F12" i="13" a="1"/>
  <c r="P12" i="13"/>
  <c r="F300" i="13" a="1"/>
  <c r="P300" i="13"/>
  <c r="F350" i="13" a="1"/>
  <c r="P350" i="13"/>
  <c r="F311" i="13" a="1"/>
  <c r="P311" i="13"/>
  <c r="F38" i="13" a="1"/>
  <c r="P38" i="13"/>
  <c r="F356" i="13" a="1"/>
  <c r="P356" i="13"/>
  <c r="F286" i="13" a="1"/>
  <c r="P286" i="13"/>
  <c r="F347" i="13" a="1"/>
  <c r="P347" i="13"/>
  <c r="F144" i="13" a="1"/>
  <c r="P144" i="13"/>
  <c r="B344" i="13"/>
  <c r="B198" i="13" s="1"/>
  <c r="B319" i="13" s="1"/>
  <c r="F344" i="13" a="1"/>
  <c r="P344" i="13"/>
  <c r="F198" i="13" a="1"/>
  <c r="P198" i="13"/>
  <c r="F319" i="13" a="1"/>
  <c r="P319" i="13"/>
  <c r="F192" i="13" a="1"/>
  <c r="P192" i="13"/>
  <c r="F190" i="13" a="1"/>
  <c r="P190" i="13"/>
  <c r="F186" i="13" a="1"/>
  <c r="P186" i="13"/>
  <c r="F337" i="13" a="1"/>
  <c r="P337" i="13"/>
  <c r="F468" i="13" a="1"/>
  <c r="P468" i="13"/>
  <c r="F288" i="13" a="1"/>
  <c r="P288" i="13"/>
  <c r="F295" i="13" a="1"/>
  <c r="P295" i="13"/>
  <c r="F291" i="13" a="1"/>
  <c r="P291" i="13"/>
  <c r="F292" i="13" a="1"/>
  <c r="P292" i="13"/>
  <c r="F348" i="13" a="1"/>
  <c r="P348" i="13"/>
  <c r="AD27" i="13"/>
  <c r="B466" i="13" l="1"/>
  <c r="C466" i="13"/>
  <c r="C203" i="13"/>
  <c r="C344" i="13"/>
  <c r="C198" i="13" s="1"/>
  <c r="C319" i="13" s="1"/>
  <c r="B203" i="13" l="1"/>
  <c r="L463" i="13"/>
  <c r="L462" i="13"/>
  <c r="L461" i="13"/>
  <c r="L460" i="13"/>
  <c r="L459" i="13"/>
  <c r="L458" i="13"/>
  <c r="L457" i="13"/>
  <c r="L456" i="13"/>
  <c r="L455" i="13"/>
  <c r="L454" i="13"/>
  <c r="L453" i="13"/>
  <c r="L452" i="13"/>
  <c r="L451" i="13"/>
  <c r="L450" i="13"/>
  <c r="L449" i="13"/>
  <c r="L447" i="13"/>
  <c r="L448" i="13"/>
  <c r="F437" i="13" l="1" a="1"/>
  <c r="P370" i="13" l="1"/>
  <c r="P371" i="13"/>
  <c r="P372" i="13"/>
  <c r="P373" i="13"/>
  <c r="P374" i="13"/>
  <c r="P375" i="13"/>
  <c r="P376" i="13"/>
  <c r="P377" i="13"/>
  <c r="P378" i="13"/>
  <c r="P379" i="13"/>
  <c r="P380" i="13"/>
  <c r="P381" i="13"/>
  <c r="P382" i="13"/>
  <c r="P383" i="13"/>
  <c r="P384" i="13"/>
  <c r="P385" i="13"/>
  <c r="P386" i="13"/>
  <c r="P387" i="13"/>
  <c r="P388" i="13"/>
  <c r="P389" i="13"/>
  <c r="P390" i="13"/>
  <c r="P391" i="13"/>
  <c r="P392" i="13"/>
  <c r="P393" i="13"/>
  <c r="P394" i="13"/>
  <c r="P395" i="13"/>
  <c r="P396" i="13"/>
  <c r="P397" i="13"/>
  <c r="P398" i="13"/>
  <c r="P399" i="13"/>
  <c r="P400" i="13"/>
  <c r="P401" i="13"/>
  <c r="P402" i="13"/>
  <c r="P403" i="13"/>
  <c r="P404" i="13"/>
  <c r="P405" i="13"/>
  <c r="P406" i="13"/>
  <c r="P407" i="13"/>
  <c r="P408" i="13"/>
  <c r="P409" i="13"/>
  <c r="P410" i="13"/>
  <c r="P411" i="13"/>
  <c r="P412" i="13"/>
  <c r="P413" i="13"/>
  <c r="P414" i="13"/>
  <c r="P415" i="13"/>
  <c r="P416" i="13"/>
  <c r="P417" i="13"/>
  <c r="P418" i="13"/>
  <c r="P419" i="13"/>
  <c r="P420" i="13"/>
  <c r="P421" i="13"/>
  <c r="P422" i="13"/>
  <c r="P423" i="13"/>
  <c r="P424" i="13"/>
  <c r="P425" i="13"/>
  <c r="P426" i="13"/>
  <c r="P427" i="13"/>
  <c r="P428" i="13"/>
  <c r="P429" i="13"/>
  <c r="P430" i="13"/>
  <c r="P431" i="13"/>
  <c r="P432" i="13"/>
  <c r="P433" i="13"/>
  <c r="P434" i="13"/>
  <c r="P435" i="13"/>
  <c r="P436" i="13"/>
  <c r="P437" i="13"/>
  <c r="P438" i="13"/>
  <c r="P439" i="13"/>
  <c r="P440" i="13"/>
  <c r="P441" i="13"/>
  <c r="P442" i="13"/>
  <c r="P443" i="13"/>
  <c r="P444" i="13"/>
  <c r="P445" i="13"/>
  <c r="P446" i="13"/>
  <c r="P447" i="13"/>
  <c r="P448" i="13"/>
  <c r="P449" i="13"/>
  <c r="P450" i="13"/>
  <c r="P451" i="13"/>
  <c r="P452" i="13"/>
  <c r="P453" i="13"/>
  <c r="P454" i="13"/>
  <c r="P455" i="13"/>
  <c r="P456" i="13"/>
  <c r="P457" i="13"/>
  <c r="P458" i="13"/>
  <c r="P459" i="13"/>
  <c r="P460" i="13"/>
  <c r="P461" i="13"/>
  <c r="P462" i="13"/>
  <c r="P463" i="13"/>
  <c r="F355" i="13" a="1"/>
  <c r="F358" i="13" a="1"/>
  <c r="F359" i="13" a="1"/>
  <c r="F360" i="13" a="1"/>
  <c r="F361" i="13" a="1"/>
  <c r="F362" i="13" a="1"/>
  <c r="F363" i="13" a="1"/>
  <c r="F364" i="13" a="1"/>
  <c r="F365" i="13" a="1"/>
  <c r="F366" i="13" a="1"/>
  <c r="F367" i="13" a="1"/>
  <c r="F368" i="13" a="1"/>
  <c r="F369" i="13" a="1"/>
  <c r="F370" i="13" a="1"/>
  <c r="F371" i="13" a="1"/>
  <c r="F372" i="13" a="1"/>
  <c r="F373" i="13" a="1"/>
  <c r="F374" i="13" a="1"/>
  <c r="F375" i="13" a="1"/>
  <c r="F376" i="13" a="1"/>
  <c r="F377" i="13" a="1"/>
  <c r="F378" i="13" a="1"/>
  <c r="F379" i="13" a="1"/>
  <c r="F380" i="13" a="1"/>
  <c r="F381" i="13" a="1"/>
  <c r="F382" i="13" a="1"/>
  <c r="F383" i="13" a="1"/>
  <c r="F384" i="13" a="1"/>
  <c r="F385" i="13" a="1"/>
  <c r="F386" i="13" a="1"/>
  <c r="F387" i="13" a="1"/>
  <c r="F388" i="13" a="1"/>
  <c r="F389" i="13" a="1"/>
  <c r="F390" i="13" a="1"/>
  <c r="F391" i="13" a="1"/>
  <c r="F392" i="13" a="1"/>
  <c r="F393" i="13" a="1"/>
  <c r="F394" i="13" a="1"/>
  <c r="F395" i="13" a="1"/>
  <c r="F396" i="13" a="1"/>
  <c r="F397" i="13" a="1"/>
  <c r="F398" i="13" a="1"/>
  <c r="F399" i="13" a="1"/>
  <c r="F400" i="13" a="1"/>
  <c r="F401" i="13" a="1"/>
  <c r="F402" i="13" a="1"/>
  <c r="F403" i="13" a="1"/>
  <c r="F404" i="13" a="1"/>
  <c r="F405" i="13" a="1"/>
  <c r="F406" i="13" a="1"/>
  <c r="F407" i="13" a="1"/>
  <c r="F408" i="13" a="1"/>
  <c r="F409" i="13" a="1"/>
  <c r="F410" i="13" a="1"/>
  <c r="F411" i="13" a="1"/>
  <c r="F412" i="13" a="1"/>
  <c r="F413" i="13" a="1"/>
  <c r="F414" i="13" a="1"/>
  <c r="F415" i="13" a="1"/>
  <c r="F416" i="13" a="1"/>
  <c r="F417" i="13" a="1"/>
  <c r="F418" i="13" a="1"/>
  <c r="F419" i="13" a="1"/>
  <c r="F420" i="13" a="1"/>
  <c r="F421" i="13" a="1"/>
  <c r="F422" i="13" a="1"/>
  <c r="F423" i="13" a="1"/>
  <c r="F424" i="13" a="1"/>
  <c r="F425" i="13" a="1"/>
  <c r="F426" i="13" a="1"/>
  <c r="F427" i="13" a="1"/>
  <c r="F428" i="13" a="1"/>
  <c r="F429" i="13" a="1"/>
  <c r="F430" i="13" a="1"/>
  <c r="F431" i="13" a="1"/>
  <c r="F432" i="13" a="1"/>
  <c r="F433" i="13" a="1"/>
  <c r="F434" i="13" a="1"/>
  <c r="F435" i="13" a="1"/>
  <c r="F436" i="13" a="1"/>
  <c r="F438" i="13" a="1"/>
  <c r="F439" i="13" a="1"/>
  <c r="F440" i="13" a="1"/>
  <c r="F441" i="13" a="1"/>
  <c r="F442" i="13" a="1"/>
  <c r="F443" i="13" a="1"/>
  <c r="F444" i="13" a="1"/>
  <c r="F445" i="13" a="1"/>
  <c r="F446" i="13" a="1"/>
  <c r="F447" i="13" a="1"/>
  <c r="F448" i="13" a="1"/>
  <c r="F449" i="13" a="1"/>
  <c r="F450" i="13" a="1"/>
  <c r="F451" i="13" a="1"/>
  <c r="F452" i="13" a="1"/>
  <c r="F453" i="13" a="1"/>
  <c r="F454" i="13" a="1"/>
  <c r="F455" i="13" a="1"/>
  <c r="F456" i="13" a="1"/>
  <c r="F457" i="13" a="1"/>
  <c r="F458" i="13" a="1"/>
  <c r="F459" i="13" a="1"/>
  <c r="F460" i="13" a="1"/>
  <c r="F461" i="13" a="1"/>
  <c r="F462" i="13" a="1"/>
  <c r="F463" i="13" a="1"/>
  <c r="F354" i="13" l="1" a="1"/>
  <c r="P351" i="13"/>
  <c r="P352" i="13"/>
  <c r="P353" i="13"/>
  <c r="P354" i="13"/>
  <c r="P355" i="13"/>
  <c r="P357" i="13"/>
  <c r="P358" i="13"/>
  <c r="P359" i="13"/>
  <c r="P360" i="13"/>
  <c r="P361" i="13"/>
  <c r="P362" i="13"/>
  <c r="P363" i="13"/>
  <c r="P364" i="13"/>
  <c r="P365" i="13"/>
  <c r="P366" i="13"/>
  <c r="P367" i="13"/>
  <c r="P368" i="13"/>
  <c r="P369" i="13"/>
  <c r="F353" i="13" a="1"/>
  <c r="F352" i="13" a="1"/>
  <c r="F351" i="13" a="1"/>
  <c r="P346" i="13"/>
  <c r="F346" i="13" a="1"/>
  <c r="P345" i="13"/>
  <c r="F345" i="13" a="1"/>
  <c r="P343" i="13"/>
  <c r="F343" i="13" a="1"/>
  <c r="P342" i="13"/>
  <c r="F342" i="13" a="1"/>
  <c r="P341" i="13"/>
  <c r="F341" i="13" a="1"/>
  <c r="P340" i="13"/>
  <c r="F340" i="13" a="1"/>
  <c r="P339" i="13"/>
  <c r="F339" i="13" a="1"/>
  <c r="P338" i="13"/>
  <c r="F338" i="13" a="1"/>
  <c r="F336" i="13" a="1"/>
  <c r="P336" i="13"/>
  <c r="I5" i="11"/>
  <c r="I17" i="11"/>
  <c r="I18" i="11"/>
  <c r="I19" i="11"/>
  <c r="I20" i="11"/>
  <c r="I9" i="11"/>
  <c r="I10" i="11"/>
  <c r="I11" i="11"/>
  <c r="I13" i="11"/>
  <c r="I14" i="11"/>
  <c r="I15" i="11"/>
  <c r="I6" i="11"/>
  <c r="I12" i="11"/>
  <c r="I16" i="11"/>
  <c r="I7" i="11"/>
  <c r="I8" i="11"/>
  <c r="I4" i="11"/>
  <c r="I3" i="11"/>
  <c r="I2" i="11"/>
  <c r="P250" i="13" l="1"/>
  <c r="F207" i="13" a="1"/>
  <c r="K3" i="11"/>
  <c r="K15" i="11"/>
  <c r="K12" i="11"/>
  <c r="K10" i="11"/>
  <c r="K16" i="11"/>
  <c r="K9" i="11"/>
  <c r="K5" i="11"/>
  <c r="K4" i="11"/>
  <c r="K2" i="11"/>
  <c r="P335" i="13"/>
  <c r="F335" i="13" a="1"/>
  <c r="P334" i="13"/>
  <c r="F334" i="13" a="1"/>
  <c r="P333" i="13"/>
  <c r="F333" i="13" a="1"/>
  <c r="P332" i="13"/>
  <c r="F332" i="13" a="1"/>
  <c r="P331" i="13"/>
  <c r="F331" i="13" a="1"/>
  <c r="P330" i="13"/>
  <c r="F330" i="13" a="1"/>
  <c r="P329" i="13"/>
  <c r="F329" i="13" a="1"/>
  <c r="P328" i="13"/>
  <c r="F328" i="13" a="1"/>
  <c r="P327" i="13"/>
  <c r="F327" i="13" a="1"/>
  <c r="P326" i="13"/>
  <c r="F326" i="13" a="1"/>
  <c r="P325" i="13"/>
  <c r="F325" i="13" a="1"/>
  <c r="P324" i="13"/>
  <c r="F324" i="13" a="1"/>
  <c r="P323" i="13"/>
  <c r="F323" i="13" a="1"/>
  <c r="P322" i="13"/>
  <c r="P321" i="13"/>
  <c r="F321" i="13" a="1"/>
  <c r="P320" i="13"/>
  <c r="F320" i="13" a="1"/>
  <c r="P318" i="13"/>
  <c r="F318" i="13" a="1"/>
  <c r="P317" i="13"/>
  <c r="F317" i="13" a="1"/>
  <c r="P316" i="13"/>
  <c r="F316" i="13" a="1"/>
  <c r="P315" i="13"/>
  <c r="F315" i="13" a="1"/>
  <c r="P314" i="13"/>
  <c r="F314" i="13" a="1"/>
  <c r="P313" i="13"/>
  <c r="F313" i="13" a="1"/>
  <c r="P312" i="13"/>
  <c r="F312" i="13" a="1"/>
  <c r="P310" i="13"/>
  <c r="F310" i="13" a="1"/>
  <c r="P309" i="13"/>
  <c r="F309" i="13" a="1"/>
  <c r="P308" i="13"/>
  <c r="F308" i="13" a="1"/>
  <c r="P307" i="13"/>
  <c r="F307" i="13" a="1"/>
  <c r="P306" i="13"/>
  <c r="F306" i="13" a="1"/>
  <c r="P305" i="13"/>
  <c r="F305" i="13" a="1"/>
  <c r="P304" i="13"/>
  <c r="F304" i="13" a="1"/>
  <c r="P303" i="13"/>
  <c r="F303" i="13" a="1"/>
  <c r="P302" i="13"/>
  <c r="F302" i="13" a="1"/>
  <c r="P301" i="13"/>
  <c r="F301" i="13" a="1"/>
  <c r="P299" i="13"/>
  <c r="F299" i="13" a="1"/>
  <c r="P298" i="13"/>
  <c r="F298" i="13" a="1"/>
  <c r="P297" i="13"/>
  <c r="F297" i="13" a="1"/>
  <c r="P296" i="13"/>
  <c r="F296" i="13" a="1"/>
  <c r="P294" i="13"/>
  <c r="F294" i="13" a="1"/>
  <c r="P293" i="13"/>
  <c r="F293" i="13" a="1"/>
  <c r="P290" i="13"/>
  <c r="F290" i="13" a="1"/>
  <c r="P289" i="13"/>
  <c r="F289" i="13" a="1"/>
  <c r="P287" i="13"/>
  <c r="F287" i="13" a="1"/>
  <c r="P285" i="13"/>
  <c r="F285" i="13" a="1"/>
  <c r="P284" i="13"/>
  <c r="F284" i="13" a="1"/>
  <c r="P283" i="13"/>
  <c r="F283" i="13" a="1"/>
  <c r="P282" i="13"/>
  <c r="F282" i="13" a="1"/>
  <c r="P281" i="13"/>
  <c r="F281" i="13" a="1"/>
  <c r="P280" i="13"/>
  <c r="F280" i="13" a="1"/>
  <c r="P279" i="13"/>
  <c r="F279" i="13" a="1"/>
  <c r="P278" i="13"/>
  <c r="F278" i="13" a="1"/>
  <c r="P277" i="13"/>
  <c r="F277" i="13" a="1"/>
  <c r="P276" i="13"/>
  <c r="F276" i="13" a="1"/>
  <c r="P275" i="13"/>
  <c r="F275" i="13" a="1"/>
  <c r="P274" i="13"/>
  <c r="F274" i="13" a="1"/>
  <c r="P273" i="13"/>
  <c r="F273" i="13" a="1"/>
  <c r="P272" i="13"/>
  <c r="F272" i="13" a="1"/>
  <c r="P271" i="13"/>
  <c r="F271" i="13" a="1"/>
  <c r="P270" i="13"/>
  <c r="F270" i="13" a="1"/>
  <c r="P269" i="13"/>
  <c r="F269" i="13" a="1"/>
  <c r="P268" i="13"/>
  <c r="F268" i="13" a="1"/>
  <c r="P267" i="13"/>
  <c r="F267" i="13" a="1"/>
  <c r="P266" i="13"/>
  <c r="F266" i="13" a="1"/>
  <c r="P265" i="13"/>
  <c r="F265" i="13" a="1"/>
  <c r="P264" i="13"/>
  <c r="F264" i="13" a="1"/>
  <c r="P263" i="13"/>
  <c r="F263" i="13" a="1"/>
  <c r="P262" i="13"/>
  <c r="F262" i="13" a="1"/>
  <c r="P261" i="13"/>
  <c r="F261" i="13" a="1"/>
  <c r="P260" i="13"/>
  <c r="F260" i="13" a="1"/>
  <c r="P259" i="13"/>
  <c r="F259" i="13" a="1"/>
  <c r="P258" i="13"/>
  <c r="F258" i="13" a="1"/>
  <c r="P257" i="13"/>
  <c r="F257" i="13" a="1"/>
  <c r="P256" i="13"/>
  <c r="F256" i="13" a="1"/>
  <c r="P255" i="13"/>
  <c r="F255" i="13" a="1"/>
  <c r="P254" i="13"/>
  <c r="F254" i="13" a="1"/>
  <c r="P253" i="13"/>
  <c r="F253" i="13" a="1"/>
  <c r="P252" i="13"/>
  <c r="F252" i="13" a="1"/>
  <c r="P251" i="13"/>
  <c r="F251" i="13" a="1"/>
  <c r="F250" i="13" a="1"/>
  <c r="P249" i="13"/>
  <c r="F249" i="13" a="1"/>
  <c r="P248" i="13"/>
  <c r="F248" i="13" a="1"/>
  <c r="P247" i="13"/>
  <c r="F247" i="13" a="1"/>
  <c r="P246" i="13"/>
  <c r="F246" i="13" a="1"/>
  <c r="P245" i="13"/>
  <c r="F245" i="13" a="1"/>
  <c r="P244" i="13"/>
  <c r="F244" i="13" a="1"/>
  <c r="P243" i="13"/>
  <c r="F243" i="13" a="1"/>
  <c r="P242" i="13"/>
  <c r="F242" i="13" a="1"/>
  <c r="P241" i="13"/>
  <c r="F241" i="13" a="1"/>
  <c r="P240" i="13"/>
  <c r="F240" i="13" a="1"/>
  <c r="P239" i="13"/>
  <c r="F239" i="13" a="1"/>
  <c r="P238" i="13"/>
  <c r="F238" i="13" a="1"/>
  <c r="P237" i="13"/>
  <c r="F237" i="13" a="1"/>
  <c r="P236" i="13"/>
  <c r="F236" i="13" a="1"/>
  <c r="P235" i="13"/>
  <c r="F235" i="13" a="1"/>
  <c r="P234" i="13"/>
  <c r="F234" i="13" a="1"/>
  <c r="P233" i="13"/>
  <c r="F233" i="13" a="1"/>
  <c r="P232" i="13"/>
  <c r="F232" i="13" a="1"/>
  <c r="P231" i="13"/>
  <c r="F231" i="13" a="1"/>
  <c r="P230" i="13"/>
  <c r="F230" i="13" a="1"/>
  <c r="P229" i="13"/>
  <c r="F229" i="13" a="1"/>
  <c r="P228" i="13"/>
  <c r="F228" i="13" a="1"/>
  <c r="P227" i="13"/>
  <c r="F227" i="13" a="1"/>
  <c r="P226" i="13"/>
  <c r="F226" i="13" a="1"/>
  <c r="P225" i="13"/>
  <c r="F225" i="13" a="1"/>
  <c r="P224" i="13"/>
  <c r="F224" i="13" a="1"/>
  <c r="P223" i="13"/>
  <c r="F223" i="13" a="1"/>
  <c r="P222" i="13"/>
  <c r="F222" i="13" a="1"/>
  <c r="P221" i="13"/>
  <c r="F221" i="13" a="1"/>
  <c r="P220" i="13"/>
  <c r="F220" i="13" a="1"/>
  <c r="P219" i="13"/>
  <c r="F219" i="13" a="1"/>
  <c r="P218" i="13"/>
  <c r="F218" i="13" a="1"/>
  <c r="P217" i="13"/>
  <c r="F217" i="13" a="1"/>
  <c r="P216" i="13"/>
  <c r="F216" i="13" a="1"/>
  <c r="P215" i="13"/>
  <c r="F215" i="13" a="1"/>
  <c r="P214" i="13"/>
  <c r="F214" i="13" a="1"/>
  <c r="P213" i="13"/>
  <c r="F213" i="13" a="1"/>
  <c r="P212" i="13"/>
  <c r="F212" i="13" a="1"/>
  <c r="P211" i="13"/>
  <c r="F211" i="13" a="1"/>
  <c r="P210" i="13"/>
  <c r="F210" i="13" a="1"/>
  <c r="P44" i="13"/>
  <c r="F87" i="13" l="1" a="1"/>
  <c r="F88" i="13" a="1"/>
  <c r="F89" i="13" a="1"/>
  <c r="F90" i="13" a="1"/>
  <c r="F91" i="13" a="1"/>
  <c r="F92" i="13" a="1"/>
  <c r="F93" i="13" a="1"/>
  <c r="F94" i="13" a="1"/>
  <c r="F95" i="13" a="1"/>
  <c r="F96" i="13" a="1"/>
  <c r="F97" i="13" a="1"/>
  <c r="F98" i="13" a="1"/>
  <c r="F99" i="13" a="1"/>
  <c r="F100" i="13" a="1"/>
  <c r="F101" i="13" a="1"/>
  <c r="F102" i="13" a="1"/>
  <c r="F103" i="13" a="1"/>
  <c r="F104" i="13" a="1"/>
  <c r="F105" i="13" a="1"/>
  <c r="F106" i="13" a="1"/>
  <c r="F107" i="13" a="1"/>
  <c r="F108" i="13" a="1"/>
  <c r="F109" i="13" a="1"/>
  <c r="F110" i="13" a="1"/>
  <c r="F111" i="13" a="1"/>
  <c r="F112" i="13" a="1"/>
  <c r="F113" i="13" a="1"/>
  <c r="F114" i="13" a="1"/>
  <c r="F115" i="13" a="1"/>
  <c r="F116" i="13" a="1"/>
  <c r="F117" i="13" a="1"/>
  <c r="F118" i="13" a="1"/>
  <c r="F119" i="13" a="1"/>
  <c r="F120" i="13" a="1"/>
  <c r="F121" i="13" a="1"/>
  <c r="F122" i="13" a="1"/>
  <c r="F123" i="13" a="1"/>
  <c r="F124" i="13" a="1"/>
  <c r="F125" i="13" a="1"/>
  <c r="F126" i="13" a="1"/>
  <c r="F127" i="13" a="1"/>
  <c r="F128" i="13" a="1"/>
  <c r="F129" i="13" a="1"/>
  <c r="F130" i="13" a="1"/>
  <c r="F131" i="13" a="1"/>
  <c r="F132" i="13" a="1"/>
  <c r="F133" i="13" a="1"/>
  <c r="F134" i="13" a="1"/>
  <c r="F135" i="13" a="1"/>
  <c r="F136" i="13" a="1"/>
  <c r="F137" i="13" a="1"/>
  <c r="F138" i="13" a="1"/>
  <c r="F139" i="13" a="1"/>
  <c r="F140" i="13" a="1"/>
  <c r="F141" i="13" a="1"/>
  <c r="F142" i="13" a="1"/>
  <c r="F143" i="13" a="1"/>
  <c r="F145" i="13" a="1"/>
  <c r="F146" i="13" a="1"/>
  <c r="F147" i="13" a="1"/>
  <c r="F148" i="13" a="1"/>
  <c r="F149" i="13" a="1"/>
  <c r="F150" i="13" a="1"/>
  <c r="F151" i="13" a="1"/>
  <c r="F152" i="13" a="1"/>
  <c r="F153" i="13" a="1"/>
  <c r="F154" i="13" a="1"/>
  <c r="F155" i="13" a="1"/>
  <c r="F156" i="13" a="1"/>
  <c r="F157" i="13" a="1"/>
  <c r="F158" i="13" a="1"/>
  <c r="F159" i="13" a="1"/>
  <c r="F160" i="13" a="1"/>
  <c r="F161" i="13" a="1"/>
  <c r="F162" i="13" a="1"/>
  <c r="F163" i="13" a="1"/>
  <c r="F164" i="13" a="1"/>
  <c r="F165" i="13" a="1"/>
  <c r="F166" i="13" a="1"/>
  <c r="F167" i="13" a="1"/>
  <c r="F168" i="13" a="1"/>
  <c r="F169" i="13" a="1"/>
  <c r="F170" i="13" a="1"/>
  <c r="F171" i="13" a="1"/>
  <c r="F172" i="13" a="1"/>
  <c r="F173" i="13" a="1"/>
  <c r="F174" i="13" a="1"/>
  <c r="F175" i="13" a="1"/>
  <c r="F176" i="13" a="1"/>
  <c r="F177" i="13" a="1"/>
  <c r="F178" i="13" a="1"/>
  <c r="F179" i="13" a="1"/>
  <c r="F180" i="13" a="1"/>
  <c r="F181" i="13" a="1"/>
  <c r="F182" i="13" a="1"/>
  <c r="F183" i="13" a="1"/>
  <c r="F184" i="13" a="1"/>
  <c r="F185" i="13" a="1"/>
  <c r="F187" i="13" a="1"/>
  <c r="F188" i="13" a="1"/>
  <c r="F189" i="13" a="1"/>
  <c r="F191" i="13" a="1"/>
  <c r="F193" i="13" a="1"/>
  <c r="F194" i="13" a="1"/>
  <c r="F195" i="13" a="1"/>
  <c r="F196" i="13" a="1"/>
  <c r="F197" i="13" a="1"/>
  <c r="F199" i="13" a="1"/>
  <c r="F200" i="13" a="1"/>
  <c r="F201" i="13" a="1"/>
  <c r="F202" i="13" a="1"/>
  <c r="F204" i="13" a="1"/>
  <c r="F205" i="13" a="1"/>
  <c r="F206" i="13" a="1"/>
  <c r="F208" i="13" a="1"/>
  <c r="F209" i="13" a="1"/>
  <c r="F4" i="13" a="1"/>
  <c r="F5" i="13" a="1"/>
  <c r="F6" i="13" a="1"/>
  <c r="F7" i="13" a="1"/>
  <c r="F8" i="13" a="1"/>
  <c r="F9" i="13" a="1"/>
  <c r="F10" i="13" a="1"/>
  <c r="F11" i="13" a="1"/>
  <c r="F13" i="13" a="1"/>
  <c r="F14" i="13" a="1"/>
  <c r="F15" i="13" a="1"/>
  <c r="F16" i="13" a="1"/>
  <c r="F17" i="13" a="1"/>
  <c r="F18" i="13" a="1"/>
  <c r="F19" i="13" a="1"/>
  <c r="F20" i="13" a="1"/>
  <c r="F21" i="13" a="1"/>
  <c r="F22" i="13" a="1"/>
  <c r="F23" i="13" a="1"/>
  <c r="F24" i="13" a="1"/>
  <c r="F25" i="13" a="1"/>
  <c r="F26" i="13" a="1"/>
  <c r="F27" i="13" a="1"/>
  <c r="F28" i="13" a="1"/>
  <c r="F29" i="13" a="1"/>
  <c r="F30" i="13" a="1"/>
  <c r="F31" i="13" a="1"/>
  <c r="F32" i="13" a="1"/>
  <c r="F33" i="13" a="1"/>
  <c r="F34" i="13" a="1"/>
  <c r="F35" i="13" a="1"/>
  <c r="F36" i="13" a="1"/>
  <c r="F37" i="13" a="1"/>
  <c r="F39" i="13" a="1"/>
  <c r="F40" i="13" a="1"/>
  <c r="F41" i="13" a="1"/>
  <c r="F42" i="13" a="1"/>
  <c r="F43" i="13" a="1"/>
  <c r="F44" i="13" a="1"/>
  <c r="F45" i="13" a="1"/>
  <c r="F46" i="13" a="1"/>
  <c r="F47" i="13" a="1"/>
  <c r="F48" i="13" a="1"/>
  <c r="F49" i="13" a="1"/>
  <c r="F50" i="13" a="1"/>
  <c r="F51" i="13" a="1"/>
  <c r="F52" i="13" a="1"/>
  <c r="F53" i="13" a="1"/>
  <c r="F54" i="13" a="1"/>
  <c r="F55" i="13" a="1"/>
  <c r="F56" i="13" a="1"/>
  <c r="F57" i="13" a="1"/>
  <c r="F58" i="13" a="1"/>
  <c r="F59" i="13" a="1"/>
  <c r="F60" i="13" a="1"/>
  <c r="F61" i="13" a="1"/>
  <c r="F62" i="13" a="1"/>
  <c r="F63" i="13" a="1"/>
  <c r="F64" i="13" a="1"/>
  <c r="F65" i="13" a="1"/>
  <c r="F66" i="13" a="1"/>
  <c r="F67" i="13" a="1"/>
  <c r="F68" i="13" a="1"/>
  <c r="F69" i="13" a="1"/>
  <c r="F70" i="13" a="1"/>
  <c r="F71" i="13" a="1"/>
  <c r="F72" i="13" a="1"/>
  <c r="F73" i="13" a="1"/>
  <c r="F74" i="13" a="1"/>
  <c r="F75" i="13" a="1"/>
  <c r="F76" i="13" a="1"/>
  <c r="F77" i="13" a="1"/>
  <c r="F78" i="13" a="1"/>
  <c r="F79" i="13" a="1"/>
  <c r="F80" i="13" a="1"/>
  <c r="F81" i="13" a="1"/>
  <c r="F82" i="13" a="1"/>
  <c r="F83" i="13" a="1"/>
  <c r="F84" i="13" a="1"/>
  <c r="F85" i="13" a="1"/>
  <c r="F86" i="13" a="1"/>
  <c r="P158" i="13"/>
  <c r="P159" i="13"/>
  <c r="P160" i="13"/>
  <c r="P161" i="13"/>
  <c r="P162" i="13"/>
  <c r="P163" i="13"/>
  <c r="P164" i="13"/>
  <c r="P165" i="13"/>
  <c r="P166" i="13"/>
  <c r="P167" i="13"/>
  <c r="P168" i="13"/>
  <c r="P169" i="13"/>
  <c r="P170" i="13"/>
  <c r="P171" i="13"/>
  <c r="P172" i="13"/>
  <c r="P173" i="13"/>
  <c r="P174" i="13"/>
  <c r="P175" i="13"/>
  <c r="P176" i="13"/>
  <c r="P177" i="13"/>
  <c r="P178" i="13"/>
  <c r="P179" i="13"/>
  <c r="P180" i="13"/>
  <c r="P181" i="13"/>
  <c r="P182" i="13"/>
  <c r="P183" i="13"/>
  <c r="P184" i="13"/>
  <c r="P185" i="13"/>
  <c r="P187" i="13"/>
  <c r="P157" i="13"/>
  <c r="P156" i="13"/>
  <c r="P155"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5" i="13"/>
  <c r="P146" i="13"/>
  <c r="P147" i="13"/>
  <c r="P148" i="13"/>
  <c r="P149" i="13"/>
  <c r="P150" i="13"/>
  <c r="P151" i="13"/>
  <c r="P152" i="13"/>
  <c r="P153" i="13"/>
  <c r="P154" i="13"/>
  <c r="P188" i="13"/>
  <c r="P189" i="13"/>
  <c r="P191" i="13"/>
  <c r="P193" i="13"/>
  <c r="P194" i="13"/>
  <c r="P195" i="13"/>
  <c r="P196" i="13"/>
  <c r="P197" i="13"/>
  <c r="P199" i="13"/>
  <c r="P200" i="13"/>
  <c r="P201" i="13"/>
  <c r="P202" i="13"/>
  <c r="P204" i="13"/>
  <c r="P205" i="13"/>
  <c r="P206" i="13"/>
  <c r="P207" i="13"/>
  <c r="P208" i="13"/>
  <c r="P209" i="13"/>
  <c r="P3" i="13"/>
  <c r="P4" i="13"/>
  <c r="P5" i="13"/>
  <c r="P6" i="13"/>
  <c r="P7" i="13"/>
  <c r="P8" i="13"/>
  <c r="P9" i="13"/>
  <c r="P10" i="13"/>
  <c r="P11"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9" i="13"/>
  <c r="P40" i="13"/>
  <c r="P41" i="13"/>
  <c r="P42" i="13"/>
  <c r="P43"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2" i="13" l="1"/>
  <c r="B190" i="13"/>
  <c r="B186" i="13"/>
  <c r="B337" i="13"/>
  <c r="B468" i="13"/>
  <c r="B286" i="13"/>
  <c r="B288" i="13"/>
  <c r="B291" i="13"/>
  <c r="B292" i="13"/>
  <c r="A12" i="13"/>
  <c r="A300" i="13"/>
  <c r="A311" i="13"/>
  <c r="A38" i="13"/>
  <c r="A356" i="13"/>
  <c r="A286" i="13"/>
  <c r="A344" i="13"/>
  <c r="A144" i="13"/>
  <c r="A198" i="13"/>
  <c r="A319" i="13"/>
  <c r="A190" i="13"/>
  <c r="A192" i="13"/>
  <c r="A186" i="13"/>
  <c r="A337" i="13"/>
  <c r="A468" i="13"/>
  <c r="C12" i="13"/>
  <c r="C300" i="13"/>
  <c r="C190" i="13"/>
  <c r="C186" i="13"/>
  <c r="C337" i="13"/>
  <c r="C468" i="13"/>
  <c r="C286" i="13"/>
  <c r="C348" i="13"/>
  <c r="B12" i="13"/>
  <c r="B300" i="13"/>
  <c r="C311" i="13"/>
  <c r="C38" i="13"/>
  <c r="C356" i="13"/>
  <c r="C347" i="13"/>
  <c r="C144" i="13"/>
  <c r="B311" i="13"/>
  <c r="B38" i="13"/>
  <c r="B356" i="13"/>
  <c r="B347" i="13"/>
  <c r="B144" i="13"/>
  <c r="B348" i="13" l="1"/>
  <c r="B295" i="13"/>
  <c r="B192" i="13"/>
  <c r="C288" i="13"/>
  <c r="A347" i="13"/>
  <c r="A348" i="13" s="1"/>
  <c r="A349" i="13" s="1"/>
  <c r="A350" i="13" s="1"/>
  <c r="A288" i="13"/>
  <c r="A291" i="13" s="1"/>
  <c r="A292" i="13" s="1"/>
  <c r="A295" i="13" s="1"/>
  <c r="C349" i="13"/>
  <c r="C350" i="13" s="1"/>
  <c r="C192" i="13"/>
  <c r="B349" i="13" l="1"/>
  <c r="B350" i="13" s="1"/>
  <c r="C291" i="13"/>
  <c r="C292" i="13" s="1"/>
  <c r="C295" i="13" s="1"/>
  <c r="A466" i="13"/>
  <c r="A203"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<sst xmlns="http://schemas.openxmlformats.org/spreadsheetml/2006/main" count="4337" uniqueCount="1230">
  <si>
    <t>Bhavnagar</t>
  </si>
  <si>
    <t>Umrala</t>
  </si>
  <si>
    <t>Palitana</t>
  </si>
  <si>
    <t>Talaja</t>
  </si>
  <si>
    <t>SOMNATH ENTERPRISE</t>
  </si>
  <si>
    <t>Tender ID</t>
  </si>
  <si>
    <t>Sub Division</t>
  </si>
  <si>
    <t>Contract Price</t>
  </si>
  <si>
    <t>Agreement No.</t>
  </si>
  <si>
    <t>Vallabhipur</t>
  </si>
  <si>
    <t>Mahuva</t>
  </si>
  <si>
    <t>Shihor</t>
  </si>
  <si>
    <t>OM CONSTRUCTION CO.</t>
  </si>
  <si>
    <t>C M VAGHELA</t>
  </si>
  <si>
    <t>V K ENTERPRISE</t>
  </si>
  <si>
    <t>V M SOJITRA</t>
  </si>
  <si>
    <t>SHIV DHARA ENTERPRISE</t>
  </si>
  <si>
    <t>MOGAL CONSTRUCTION</t>
  </si>
  <si>
    <t>Type</t>
  </si>
  <si>
    <t>Road</t>
  </si>
  <si>
    <t>DEEPALI CONSTRUCTION</t>
  </si>
  <si>
    <t>Duration of Work (in Months)</t>
  </si>
  <si>
    <t>Tender Notice Year</t>
  </si>
  <si>
    <t>Tender Notice No.</t>
  </si>
  <si>
    <t>Last Date of Submission</t>
  </si>
  <si>
    <t>Tender Opening Date</t>
  </si>
  <si>
    <t>Contract Awarded to</t>
  </si>
  <si>
    <t>Tender Approval Date</t>
  </si>
  <si>
    <t>Work Order Worksheet No.</t>
  </si>
  <si>
    <t>Work Order  Date</t>
  </si>
  <si>
    <t>Tender Acceptance Letter Worksheet No.</t>
  </si>
  <si>
    <t>Agreement Date</t>
  </si>
  <si>
    <t>Security Deposit Type (BG/ FDR)</t>
  </si>
  <si>
    <t>Bank Name of Security Deposit BG/ FDR)</t>
  </si>
  <si>
    <t xml:space="preserve">Security Deposit BG/ FDR Number </t>
  </si>
  <si>
    <t>Security Deposit BG/ FDR Amount</t>
  </si>
  <si>
    <t>Bank Name of Additional Performance Security Deposit</t>
  </si>
  <si>
    <t>Security Deposit BG/ FDR Date</t>
  </si>
  <si>
    <t>Additional Performance Security BG/FDR Amount</t>
  </si>
  <si>
    <t>Additional Performance Security BG/FDR Date</t>
  </si>
  <si>
    <t>Additional Performance Security Deposit BG/ FDR Type</t>
  </si>
  <si>
    <t>Taluka</t>
  </si>
  <si>
    <t>Grand Total</t>
  </si>
  <si>
    <t>Shyam Construction</t>
  </si>
  <si>
    <t>Constrcution Cement Concrete Roads of Bhavnagar District Package No. RPC-2/BVN/Suvidhapath/2024-25/P.09 Ta. Vallabhipur, Dist. Bhavnagar</t>
  </si>
  <si>
    <t>Name of Work</t>
  </si>
  <si>
    <t>R J Bhammar Construction</t>
  </si>
  <si>
    <t>BABUBHAI HAKABHAI GOHIL</t>
  </si>
  <si>
    <t>BRIJRAJ CONSTRUCTION</t>
  </si>
  <si>
    <t>Agreement Year</t>
  </si>
  <si>
    <t>2025-26</t>
  </si>
  <si>
    <t>R M DASA INFRASTRUCTURE PVT. LTD.</t>
  </si>
  <si>
    <t>KRISHNA CONSTRUCTION</t>
  </si>
  <si>
    <t>VIJAYBHAI MOHANBHAI SINDHAV</t>
  </si>
  <si>
    <t>Construction of Pati Chogath Road Km 0/0 to 2/100, Ta. Vallabhipur Dist. Bhavnagar</t>
  </si>
  <si>
    <t>Tender Creation Date Date</t>
  </si>
  <si>
    <t>Proposal Date</t>
  </si>
  <si>
    <t>Widening and Strengthening of Sathara to uncha Kotada road Km 0/0 to 17/900 Ta. Mahuva Dist. Bhavnagar</t>
  </si>
  <si>
    <t>Construction To Roads of Bhavnagar District Package No. RPC-2/BVN/MMGSY/Normal/2024-25/P.03 Ta. Mahuva, Dist. Bhavnagar</t>
  </si>
  <si>
    <t>Construction To Roads of Bhavnagar District Package No. RPC-2/BVN/MMGSY/Normal/2024-25/P.01 Ta. Gariyadhar, Dist. Bhavnagar</t>
  </si>
  <si>
    <t>Construction New Structure of Bhavnagar District Package No. RPC-2/BVN/MMGSY/Normal/2023-24/P.11 Ta. Mahuva</t>
  </si>
  <si>
    <t>Improvement of Khodiyar Jaliya Bhadali Rabarika Road Km 0/0 to 8/850 Ta. Shihor, Dist. Bhavnagar</t>
  </si>
  <si>
    <t>(blank)</t>
  </si>
  <si>
    <t>Contract Awarded</t>
  </si>
  <si>
    <t>Proposal Sent</t>
  </si>
  <si>
    <t>Tender Approved</t>
  </si>
  <si>
    <t>LoA Sent</t>
  </si>
  <si>
    <t>Work Order Given</t>
  </si>
  <si>
    <t>Sub Notices</t>
  </si>
  <si>
    <t>Address</t>
  </si>
  <si>
    <t>Name of Proprietor</t>
  </si>
  <si>
    <t>VANRAJSINH BOGHUBHA SARVAIYA</t>
  </si>
  <si>
    <t>RPC-2/Tender/Bhav/60</t>
  </si>
  <si>
    <t>Above/ Below (%)</t>
  </si>
  <si>
    <t>Above/ Below (in word)</t>
  </si>
  <si>
    <t>Re-Invite</t>
  </si>
  <si>
    <t>Construction Cement Concrete Roads of Bhavnagar District Package No. RPC-2/BVN/Suvidhapath/2024-25/P.02 Ta. Palitana, Dist. Bhavnagar</t>
  </si>
  <si>
    <t>Resurfacing to Roads of Bhavnagar District Package No. RPC-2/BVN/MMGSY/Normal/2024-25/P.10 Taluka and Dist. Bhavnagar</t>
  </si>
  <si>
    <t>SR To Paldi Ganeshgadh Road (NP BT) Km.0/000 to 2/550 Ta.Gariyadhar, Dist. Bhavnagar</t>
  </si>
  <si>
    <t>Resurfacing to Roads of Bhavnagar District Package No. RPC-2/BVN/MMGSY/Normal/2024-25/P.08 Ta. Talaja , Dist. Bhavnagar</t>
  </si>
  <si>
    <t>Improvement and Routine Maintenance of Vadiya Ukharla Road (Vadiya Usrad Pipaliya Road) (ODR) Km.0/000 -5/100 Ta. Shihor, Dist. Bhavnagar</t>
  </si>
  <si>
    <t>Resurfacing to Roads of Bhavnagar District Package No.RPC-2/BVN/MMGSY/Normal/2024-25/P.01 Ta. Vallabhipur, Dist. Bhavnagar</t>
  </si>
  <si>
    <t>Construction to Roads of Bhavnagar District Package No.RPC-2/BVN/MMGSY/Normal/2024-25/P.02 Ta. Mahuva, Dist. Bhavnagar</t>
  </si>
  <si>
    <t>Construction to Roads of Bhavnagar District Package No. RPC-2/BVN/MMGSY/Khas Angbhut/2024-25/P.01 Ta. Mahuva , Dist. Bhavnagar</t>
  </si>
  <si>
    <t>Resurfacing of Dundas to Pipalava Road (MDR) Km. 0/000 to 3/200 Ta. Mahuva , Dist. Bhavnagar</t>
  </si>
  <si>
    <t>Construction of Budhel to Malanka Road (NP) Km.0/000 to 4/250 Taluka And Dist. Bhavnagar</t>
  </si>
  <si>
    <t>Resurfacing to Roads of Bhavnagar District Package No. RPC-2/BVN/MMGSY/Normal/2024-25/P.03 Ta. Mahuva , Dist. Bhavnagar</t>
  </si>
  <si>
    <t>Resurfacing of Konjali Kalela Boradi Road (MDR) Km.0/000 to 8/000 Ta. Mahuva, Dist. Bhavnagar</t>
  </si>
  <si>
    <t>Resurfacing to Roads of Bhavnagar District Package No. RPC-2/BVN/MMGSY/Normal/2024-25/P.09 Taluka and Dist. Bhavnagar</t>
  </si>
  <si>
    <t>Special Repairs Roads of Bhavnagar District Package No. RPC-2/BVN/Spaecial Repairs/2023-24/P.31 Ta. Palitana, Dist. Bhavnagar</t>
  </si>
  <si>
    <t>Construction Cement Concrete Roads of Bhavnagar District Package No. RPC-2/BVN/Suvidhapath/2024-25/P.11 Ta. Umrala, Dist. Bhavnagar</t>
  </si>
  <si>
    <t>Construction of Cement Concrete Roads of Bhavnagar District Package No. RPC-2/BVN/Suvidhapath/2024-25/P.10 Ta. Umrala, Dist. Bhavnagar</t>
  </si>
  <si>
    <t>Construction Cement Concrete Roads of Bhavnagar District Package No. RPC-2/BVN/Suvidhapath/2024-25/P.01 Ta. Palitana, Dist. Bhavnagar</t>
  </si>
  <si>
    <t>RPC-2/Tender/Bhav/64</t>
  </si>
  <si>
    <t>SHOP NO. 7, FIRST FLOOR, AKSHAR RESIDENCY, GIRIRAJ MAIN ROAD,  JUNAGADH - 362001</t>
  </si>
  <si>
    <t>RPC-2/Tender/Bhav/58</t>
  </si>
  <si>
    <t>J B GOHIL</t>
  </si>
  <si>
    <t>JAYRAJSINH BHUPATSINH GOHIL</t>
  </si>
  <si>
    <t>C. H. Gohil</t>
  </si>
  <si>
    <t>HARPALSINH AMARSINH SARVAIYA</t>
  </si>
  <si>
    <t>CHATURBHAI MOHANBHAI VAGHELA</t>
  </si>
  <si>
    <t>Mo. No.</t>
  </si>
  <si>
    <t>4th Floor, Akshar Plaza-1, Diksha Nagar, Zanzarda Chokadi, Junagadh- 362001</t>
  </si>
  <si>
    <t>D. H. Gohil</t>
  </si>
  <si>
    <t>KRISHNA CONSTRUCTION, DHOLA</t>
  </si>
  <si>
    <t>PANCHABHAI BAVDINBHAI KUVADIYA</t>
  </si>
  <si>
    <t>Bhupendrasinh Sujansinh Gohil</t>
  </si>
  <si>
    <t>308- Swara Park Lane, Behind Sanskar Mandal, Joggers Park, Near Atabhai Chowk, Bhavnagar- 364002</t>
  </si>
  <si>
    <t>DINESHBHAI VASHRAMBHAI PADAYA,</t>
  </si>
  <si>
    <t>PRUTHVI CORPORATION</t>
  </si>
  <si>
    <t>GULABSINH LAKHUBHAI SARVAIYA</t>
  </si>
  <si>
    <t xml:space="preserve">BHUMI CONSTRUCTION </t>
  </si>
  <si>
    <t>Block No 101, 1st Floor, Shraddha Complex, Opp. Ganga hall, Amin Marg, Rajkot-360001</t>
  </si>
  <si>
    <t>Narendrasinh Parbatsinh Gohil</t>
  </si>
  <si>
    <t>SAI GEOTECHNICAL LAB</t>
  </si>
  <si>
    <t>A-13, Basement, Panchratna Apartment, Subhanpura Road, Vadodara - 390023</t>
  </si>
  <si>
    <t>Mahesh Vallabhbhai Savani</t>
  </si>
  <si>
    <t>MIHIR RAJENDRABHAI MANDALIYA</t>
  </si>
  <si>
    <t>SHRI KRISHNA CONSTRUCTION</t>
  </si>
  <si>
    <t>KAIRAV CONSTRUCTION</t>
  </si>
  <si>
    <t>JATINKUMAR RAMESHBHAI GOYANI</t>
  </si>
  <si>
    <t>BHADRESHSINH BHAGWATSING GOHIL</t>
  </si>
  <si>
    <t>JAY PAVER BLOCK</t>
  </si>
  <si>
    <t>JAY DHIRUBHAI BHALIYA</t>
  </si>
  <si>
    <t>HAREKRISHNA CONSTRUCTION</t>
  </si>
  <si>
    <t>Dineshbhai Harjibhai Parmar</t>
  </si>
  <si>
    <t>SHUBH CONSTRUCTION</t>
  </si>
  <si>
    <t>VARAHI CONSTRUCTION</t>
  </si>
  <si>
    <t>SADGURU CONSTRUCTION</t>
  </si>
  <si>
    <t>SHIV CONSTRUCTION</t>
  </si>
  <si>
    <t>VEERAJ HITESHBHAI OZA</t>
  </si>
  <si>
    <t>ZABBICS</t>
  </si>
  <si>
    <t>Aarti Construction</t>
  </si>
  <si>
    <t>G.K.S. Construction Enterprise</t>
  </si>
  <si>
    <t>RAMESHBHAI GANGDASBHAI SANKALIYA</t>
  </si>
  <si>
    <t>V V CONSTRUCTION</t>
  </si>
  <si>
    <t>SITARAM CONSTRUCTION</t>
  </si>
  <si>
    <t>HITENDRASINH GAMBHIRSINH ZALA</t>
  </si>
  <si>
    <t>GAYATRI ENGINEERING</t>
  </si>
  <si>
    <t>YOGENDRASINH GOHIL, TULSIBHAI SHAMJIBHAI VANANI</t>
  </si>
  <si>
    <t>KRUNAL KAMLESHBHAI PATEL</t>
  </si>
  <si>
    <t>NANKUBHAI DUDABHAI BARAL</t>
  </si>
  <si>
    <t>Maa Mogal Enterprise</t>
  </si>
  <si>
    <t>Radhe Construction</t>
  </si>
  <si>
    <t>SHIV CONSTRUCTION, AMRELI</t>
  </si>
  <si>
    <t>KANJIBHAI RAMESHBHAI BARAIYA</t>
  </si>
  <si>
    <t>S G ENTERPRISE</t>
  </si>
  <si>
    <t>J K CONSTRUCTION</t>
  </si>
  <si>
    <t>UPENDRAKUMAR JAGDISHBHAI JOSHI</t>
  </si>
  <si>
    <t>BHAGYALAXMI CONSTRUCTION</t>
  </si>
  <si>
    <t>CHETANSINH BHUPATSINH SARVAIYA</t>
  </si>
  <si>
    <t>PRADIPSINH VANRAJSINH GOHIL</t>
  </si>
  <si>
    <t>SANDIP N PATEL</t>
  </si>
  <si>
    <t>SANDIP NITINKUMAR PATEL</t>
  </si>
  <si>
    <t>SHIV BUILDERS</t>
  </si>
  <si>
    <t>FIRST FLOOR, FLT NO.101, MADHAV COMPLEX, SHASTRI NAGAR BHAVNAGAR-364001</t>
  </si>
  <si>
    <t>PLOT NO 916, AIR PORT ROAD, SAVINAY SOCIETY, PATEL PARK, MUNI DERI BHAVNAGAR-364001</t>
  </si>
  <si>
    <t>78/3, KOLIVAS WADI VISTAR, LILIVAV, TALAJA, BHAVNAGAR-364050</t>
  </si>
  <si>
    <t>42-Patel Sheri, Sundariyana, Ranpur, Dist. Botad-382255</t>
  </si>
  <si>
    <t>Hathab, Vaya-Koliyak, Dist. Bhavnagar-364070</t>
  </si>
  <si>
    <t>Shelana, Savarkudala, Dist. Amreli-364525</t>
  </si>
  <si>
    <t>314, Third Floor, Surabhi Mall, Waghawadi Road, BHAVNAGAR-364001</t>
  </si>
  <si>
    <t>MOTI JAGDHAR, MAHUVA, 
BHAVNAGAR-364295</t>
  </si>
  <si>
    <t>House No.757, Nr. Ramdevpir Mandir Temple, Dihor, Talaja, Bhavnagar-364150</t>
  </si>
  <si>
    <t>Moti Jagdhar, Ta. Mahuva, Bhavnagar-364295</t>
  </si>
  <si>
    <t>82/1, Bajaran Society, Near Gayatri Temple, Chitra, Bhavnagar-364004</t>
  </si>
  <si>
    <t>UMARLA, Ta. TALAJA, Dist. BHAVNAGAR-364150</t>
  </si>
  <si>
    <t>Shetrunji Dam, Nani Paniyali, Palitana, Bhavnagar-364270</t>
  </si>
  <si>
    <t>Fist Floor, Ananddham Park-1, Plot No.59, Vinchhiya Jasdan Road, Survey No.753, Rajkot-360050</t>
  </si>
  <si>
    <t>A-204, LEELA EFCEE, WAGHAWADI ROAD, BHAVNAGAR-364001</t>
  </si>
  <si>
    <t>FF-22, Virbhadrasinhji Shopping Center, Nilambaug, BHAVNAGAR-364001</t>
  </si>
  <si>
    <t>Shop No.26, First Floor, Sadguru Complex, Nr. Nari Chowkadi Circle, Bhavnagar-364001</t>
  </si>
  <si>
    <t>BHAVANI CONSTRUCTION COMPANY</t>
  </si>
  <si>
    <t>RANJITBHAI BAHADURBHAI VALA</t>
  </si>
  <si>
    <t>RAMDEVSINH SATUBHA GOHIL</t>
  </si>
  <si>
    <t>ASHAPURA CONSTRUCTION</t>
  </si>
  <si>
    <t>Universal associates</t>
  </si>
  <si>
    <t>Construction of Sanala To Sanala Cutting Road (NP) Km.0/000 to 1/400 Ta. Jesar, Dist. Bhavnagar</t>
  </si>
  <si>
    <t>SAMIR H SAIYAD</t>
  </si>
  <si>
    <t>VASHRAMBHAI BIJALBHAI AND CO</t>
  </si>
  <si>
    <t>CHAUHAN LALJIBHAI ARJANBHAI</t>
  </si>
  <si>
    <t>Row Labels</t>
  </si>
  <si>
    <t>Sum of Contract Price</t>
  </si>
  <si>
    <t>RBD/TRF/e-file/16/2025/2856/Section D1</t>
  </si>
  <si>
    <t>RBD/TRF/e-file/16/2025/2855/Section D1</t>
  </si>
  <si>
    <t>RBD/TRF/e-file/16/2025/2863/Section D1</t>
  </si>
  <si>
    <t>RBD/TRF/e-file/16/2025/2862/Section D1</t>
  </si>
  <si>
    <t>RBD/TRF/e-file/16/2025/2861/Section D1</t>
  </si>
  <si>
    <t>VCPROJECT &amp; INFRA PVT. LTD.</t>
  </si>
  <si>
    <t>RBD/TRF/e-file/16/2025/2864/Section D1</t>
  </si>
  <si>
    <t>RBD/TRF/e-file/16/2025/2865/Section D1</t>
  </si>
  <si>
    <t>RBD/TRF/e-file/16/2025/2859/Section D1</t>
  </si>
  <si>
    <t>RBD/TRF/e-file/16/2025/3192/Section D1</t>
  </si>
  <si>
    <t>RPC-2/Tender/Bhav/95</t>
  </si>
  <si>
    <t>RPC-2/Tender/Bhav/96</t>
  </si>
  <si>
    <t>RPC-2/Tender/Bhav/97</t>
  </si>
  <si>
    <t>RPC-2/Tender/Bhav/98</t>
  </si>
  <si>
    <t>RPC-2/Tender/Bhav/99</t>
  </si>
  <si>
    <t>RPC-2/Tender/Bhav/100</t>
  </si>
  <si>
    <t>RPC-2/Tender/Bhav/101</t>
  </si>
  <si>
    <t>RPC-2/Tender/Bhav/102</t>
  </si>
  <si>
    <t>RPC-2/Tender/Bhav/103</t>
  </si>
  <si>
    <t>RPC-2/Tender/Bhav/105</t>
  </si>
  <si>
    <t>RPC-2/Tender/Bhav/106</t>
  </si>
  <si>
    <t>RPC-2/Tender/Bhav/107</t>
  </si>
  <si>
    <t>RPC-2/Tender/Bhav/104</t>
  </si>
  <si>
    <t>Building</t>
  </si>
  <si>
    <t>Gariyadhar</t>
  </si>
  <si>
    <t>Remaining works Construction of Gram Panchayat office Building (Frame Structure) at village Pansada Dist. Bhavnagar</t>
  </si>
  <si>
    <t>Construction of School Building at Kalivav Primary School (One Class Room)  and Koliyak Kanya P.S. (Four Class Room) Ta. And Dist. Bhavnagar</t>
  </si>
  <si>
    <t>Construction of Nandghar (Anganvadi) Building at Undavi-1 (Bhavnagar) Ta. Bhavnagar Dist. Bhavnagar</t>
  </si>
  <si>
    <t>Construction of Nandghar (Anganvadi) Building at Village Boradi-4 Tal. Mahuva Dist. Bhavnagar</t>
  </si>
  <si>
    <t>JAY KANDHAL CONSTRUCTION</t>
  </si>
  <si>
    <t>Construction of Nandghar (Anganvadi) Building at Village Malvav-4 Tal. Mahuva Dist. Bhavnagar</t>
  </si>
  <si>
    <t>Construction of Nandghar (Anganvadi) Building at Village Nikol, Ta. Mahuva Dist. Bhavnagar</t>
  </si>
  <si>
    <t>Construction of Nandghar (Anganvadi) Building at Village Boradi-1 Tal. Mahuva Dist. Bhavnagar</t>
  </si>
  <si>
    <t>Construction of Nandghar (Anganvadi) Building at Village Malvav-3 Tal. Mahuva Dist. Bhavnagar</t>
  </si>
  <si>
    <t>Construction of Nandghar (Anganvadi) Building at Village Kumbhariya, Ta. Mahuva Dist. Bhavnagar</t>
  </si>
  <si>
    <t>Construction of Nandghar (Anganvadi) Building at Village Mota Khuntavada-2, Ta. Mahuva Dist. Bhavnagar</t>
  </si>
  <si>
    <t>Construction of Nandghar (Anganvadi) Building at Village Titodiya, Ta. Mahuva Dist. Bhavnagar</t>
  </si>
  <si>
    <t>Construction of Nandghar (Anganvadi) Building at Village Gundarani, Ta. Mahuva Dist. Bhavnagar</t>
  </si>
  <si>
    <t>Construction of Nandghar (Anganvadi) Building at Village Mota Malpara, Ta. Mahuva Dist. Bhavnagar</t>
  </si>
  <si>
    <t>Construction of Nandghar (Anganvadi) Building at Village Bagdana-3, Ta. Mahuva Dist. Bhavnagar</t>
  </si>
  <si>
    <t>Construction of Nandghar (Anganvadi) Building at Village Mota Khuntavada-3, Ta. Mahuva Dist. Bhavnagar</t>
  </si>
  <si>
    <t>Construction of Nandghar (Anganvadi) Building at Village Vaghvadarda, Ta. Mahuva Dist. Bhavnagar</t>
  </si>
  <si>
    <t>Construction of Nandghar (Anganvadi) Building at Village Lusadi, Ta. Mahuva Dist. Bhavnagar</t>
  </si>
  <si>
    <t>Construction of Nandghar (Anganvadi) Building at Village Dudana, Ta. Mahuva Dist. Bhavnagar</t>
  </si>
  <si>
    <t>Construction of Gram Panchayat office (Frame structure) at Village Morchupna Tal. Jesar Dist. Bhavnagar</t>
  </si>
  <si>
    <t>Jesar</t>
  </si>
  <si>
    <t>SHIV CONTRUCTION</t>
  </si>
  <si>
    <t>Construction of Gram Panchayat office (Frame structure) at Village Intiya Tal. Jesar Dist. Bhavnagar</t>
  </si>
  <si>
    <t>UDAYBHAI R. LUNSAR</t>
  </si>
  <si>
    <t>Construction of Gram Panchayat office (Frame structure) at Village Ranparda (Chok) Tal. Jesar Dist. Bhavnagar</t>
  </si>
  <si>
    <t>Construction of Gram Panchayat office (Frame structure) at Village Ranparada (Khara) Tal. Palitana Dist. Bhavnagar</t>
  </si>
  <si>
    <t>Construction of Gram Panchayat office (Frame structure) at Village Moti Rajsthali Tal. Palitana Dist. Bhavnagar</t>
  </si>
  <si>
    <t>Construction of Gram Panchayat office (Frame structure) at Village Satananes Ta.Palitana Dist. Bhavnagar</t>
  </si>
  <si>
    <t>Construction of Gram Panchayat office (Frame structure) at Village Chonda Tal. Palitana Dist. Bhavnagar</t>
  </si>
  <si>
    <t>SANDIP DINESHBHAI VANZARA</t>
  </si>
  <si>
    <t>Construction of Gram Panchayat office (Frame structure) at Village Bhandariya Ta. Palitana Dist. Bhavnagar</t>
  </si>
  <si>
    <t>Construction of Gram Panchayat office (Frame structure) at Village Motishree Tal. Palitana Dist. Bhavnagar</t>
  </si>
  <si>
    <t>Construction of Gram Panchayat office (Frame structure) at Village Dungarpur Tal. Palitana Dist. Bhavnagar</t>
  </si>
  <si>
    <t>Construction of Gram Panchayat office (Frame structure) at Village Nava Sarod Tal. Palitana Dist. Bhavnagar</t>
  </si>
  <si>
    <t>ASHOKBHAI PARSHOTAMBHAI
BARAIYA</t>
  </si>
  <si>
    <t>Construction of Gram Panchayat office (Frame structure) at Village Bambhaniya Tal. Mahuva Dist. Bhavnagar</t>
  </si>
  <si>
    <t>MAYANKKUMAR JAYANTIBHAI GODHANI</t>
  </si>
  <si>
    <t>Construction of Gram Panchayat office (Frame structure) at Village Dundas Tal. Mahuva Dist. Bhavnagar</t>
  </si>
  <si>
    <t>Construction of Gram Panchayat office (Frame structure) at Village Kotamoi Tal. Jesar Dist. Bhavnagar</t>
  </si>
  <si>
    <t>Construction of Gram Panchayat office (Frame structure) at Village Hadamtala Tal.Umrala Dist. Bhavnagar</t>
  </si>
  <si>
    <t>DEV CONSTRUCTION</t>
  </si>
  <si>
    <t>Construction of Gram Panchayat office ( for Population from 5000- 10000) at Village Ranghola Tal. Umrala Dist. Bhavnagar</t>
  </si>
  <si>
    <t>Construction of Gram Panchayat office ( for Population from 5000- 10000) at Village Chogath Tal. Umrala Dist. Bhavnagar</t>
  </si>
  <si>
    <t>RBD/TRF/e-file/16/2025/3350/Section D1</t>
  </si>
  <si>
    <t>RBD/TRF/e-file/16/2025/3302/Section D1</t>
  </si>
  <si>
    <t>RBD/TRF/e-file/16/2025/3304/Section D1</t>
  </si>
  <si>
    <t>RBD/TRF/e-file/16/2025/3487/Section D1</t>
  </si>
  <si>
    <t>RBD/TRF/e-file/16/2025/3300/Section D1</t>
  </si>
  <si>
    <t>RPC-2/Tender/Bhav/63</t>
  </si>
  <si>
    <t>RPC-2/Tender/Bhav/62</t>
  </si>
  <si>
    <t>RPC-2/Tender/Bhav/59</t>
  </si>
  <si>
    <t>RPC-2/Tender/Bhav/61</t>
  </si>
  <si>
    <t>Universal Associates</t>
  </si>
  <si>
    <t>Ashapura Construction</t>
  </si>
  <si>
    <t>"Ashapura Nivas", Shivaji Nagar, Talaja, Ta. Talaja Dist. Bhavnagar</t>
  </si>
  <si>
    <t>Proprietor</t>
  </si>
  <si>
    <t>Partner</t>
  </si>
  <si>
    <t>Dr. Ambedkar Society, Jamvali Road, Palitana, Dist Bhavnagar</t>
  </si>
  <si>
    <t>MOTI PANIYALI, Via. Po. SHETRUNJI, Ta. PALITANA, Dist. BHAVNAGAR-364270</t>
  </si>
  <si>
    <t>Vijaysinh Jamsinh Gohil, At Po. Pachhegam, Ta. Vallabhipur Dist. Bhavnagar</t>
  </si>
  <si>
    <t>At. Vangadhra, Ta.Umrala, Dist. Bhavnagar</t>
  </si>
  <si>
    <t>At Gheti, Ramnagar Society, Ta. Palitana, Dist. Bhavnagar</t>
  </si>
  <si>
    <t>88, Rajapara (Thadach), Ta. Palitana, Dist. Bhavnagar</t>
  </si>
  <si>
    <t>Shop No. 131/B, First Floor, Shiva Belssing-2, Opp. BMC Office, Bhavnagar</t>
  </si>
  <si>
    <t xml:space="preserve">Pro. D. G. Shiyal, 200, Vavadi, Plot Vistar, Milk Collection Center, At. Vavadi, Po. Fulsar, Ta. Talaja, Bhavnagar-364140 </t>
  </si>
  <si>
    <t>Pro. Bharatbhai B. Baraiya, At Village Rohisa, Ta. Mahuva, Dist. Bhavnagar - 364295</t>
  </si>
  <si>
    <t>Ground Floor, Shop No.2, House No.151, Near Chabutara, Dadva Road, Dhola, Ta.Umrala, Dist.Bhavnagar</t>
  </si>
  <si>
    <t>Vijaysinh B. Sarvaiya, At Pasvi, Ta. Talaja, Dist. Bhavnagar-364140</t>
  </si>
  <si>
    <t>53, Chandraprakash Residency, Sidasar Road, Leela Circle, Bhavnagar-364002</t>
  </si>
  <si>
    <t>2/A, New York Corner, Behind Kiran Motors, Opp. Rajpath Club, Bodakdev, Ahmedabad - 380054</t>
  </si>
  <si>
    <t>AT JALALPUR, TA. GADHADA, DIST. BOTAD - 364740</t>
  </si>
  <si>
    <t>Ghogha</t>
  </si>
  <si>
    <t xml:space="preserve">Shop No. 112, Sunrise Complex, Dawn Chowk, Bhavnagar </t>
  </si>
  <si>
    <t>RPC-2/Tender/Bhav/118</t>
  </si>
  <si>
    <t>Resurfacing and Routine Maintenance of Borala Approach Road (VR) Km.0/000 to 1/100 Ta.Mahuva, Dist.; Bhavnagar</t>
  </si>
  <si>
    <t>Improvement of Khadsaliya Morchand Padva Road (VR NP) (Khadsaliya Morchand Km.0/000 -3/800) Ta.Ghogha, Dist.; Bhavnagar</t>
  </si>
  <si>
    <t>Construction of Minor Bridge on Mahuva Mota Jadra Road (NP BT) Ta.Mahuva, Dist.; Bhavnagar</t>
  </si>
  <si>
    <t>RBD/TRF/e-file/16/2025/2848/Section D1</t>
  </si>
  <si>
    <t>Hareshbhai Punabhai Hadiya</t>
  </si>
  <si>
    <t>At. Kundaliyala, Tal. Rajula, Dist. Amreli</t>
  </si>
  <si>
    <t>Plot No. 233, Nu.N.Yo. No.3, Near Muni Nagar, Mahuva</t>
  </si>
  <si>
    <t>BHUPATBHAI B. BARAIYA</t>
  </si>
  <si>
    <t>314, Rise On Plaza, Sarthana Jakatnaka, Surat - 395006</t>
  </si>
  <si>
    <t xml:space="preserve"> VINODBHAI MEGHJIBHAI SOJITRA</t>
  </si>
  <si>
    <t>At Bhandariya, Ta. Palitana, Dist. Bhavnagar</t>
  </si>
  <si>
    <t>ALIGBHAI LAKHUBHAI BARAL</t>
  </si>
  <si>
    <t>Shop No. 5, First Floor, Nilkanth Arcade, Opp. Arjun Tokiz, Palitana Road, Gariyadhar- 364505</t>
  </si>
  <si>
    <t>UDAYBHAI RAMKUBHAI LUNSAR</t>
  </si>
  <si>
    <t>Construction of Gram Panchayat office (Frame structure) at Village Dudhala Ta. Palitana Dist. Bhavnagar</t>
  </si>
  <si>
    <t>Opp. HP PUMP, Palitana Road, Gariyadhar</t>
  </si>
  <si>
    <t>At Lapaliya, Post- Nani Rajsthali, Tal. Palitana - 364270</t>
  </si>
  <si>
    <t>FDR</t>
  </si>
  <si>
    <t>SAURASHTRA GRAMIN BANK</t>
  </si>
  <si>
    <t>Empanelment of Consultancy Services for Identification of Road alignment(ROW) as per revenue Records for Different roads under jurisdiction of R &amp; B (P) Division, Bhavnagar</t>
  </si>
  <si>
    <t>BG</t>
  </si>
  <si>
    <t>01414GPGE2516701</t>
  </si>
  <si>
    <t>CANARA BANK</t>
  </si>
  <si>
    <t>01414GPGE2516702</t>
  </si>
  <si>
    <t>Punjab National Bank</t>
  </si>
  <si>
    <t>Additional Performance Security BG/FDR No.</t>
  </si>
  <si>
    <t>40500ILG002825</t>
  </si>
  <si>
    <t>Construction Cement Concrete Roads on Talgajarada to NH Road Km 0/0 to 2/100 Ta. Mahuva, Dist. Bhavnagar</t>
  </si>
  <si>
    <t>40500ILG002925</t>
  </si>
  <si>
    <t>40500ILG002725</t>
  </si>
  <si>
    <t>State Bank of India</t>
  </si>
  <si>
    <t>Resurfacing and Routine Maintenance of Biladi Nana Mota Pipalava Kankot Road (Pipalava to Kankot Section) (MDR) Km. 0/000 to 1/800 Ta.Mahuva, Dist.; Bhavnagar</t>
  </si>
  <si>
    <t>Widening &amp; Strengthening of Tagdi-Thordi-Rajpara- Badi Road Km. 0/000-11/550 (Sec-I Tagdi Thordi Road Km.0/000-4/000), (Sec.II Thordi Rajpara Road Km. 4/000-9/250) &amp; (Sec-III Rajpara Badi Road Km.9/250-11/550) (MDR) Ta.Bhavnagar &amp; Ghogha, Dist.; Bhavnagar</t>
  </si>
  <si>
    <t>R M Dasa Infrastructure Pvt. Ltd.</t>
  </si>
  <si>
    <t>Construction to Roads of Bhavnagar District Package No. RPC-2/BVN/MMGSY/Normal/2024-25/P.04 Taluka and Dist.; Bhavnagar</t>
  </si>
  <si>
    <t>Construction of Ishwariya to Sanosara Railway station Road (NP) Ch.0/000 to 1/650 Ta.Shihor , Dist.; Bhavnagar</t>
  </si>
  <si>
    <t>Construction of Panchtobra Gangajaliya to Malvali Road to Ratanvav Surnivas Road (NP) Km.0/000 to 2/200 Ta. Gariyadhar , Dist.; Bhavnagar</t>
  </si>
  <si>
    <t>Construction of Ratol To Chuna Road (Remaining Length) (NP) Km.0/000 to 1/400 Ta.Mahuva , Dist.; Bhavnagar</t>
  </si>
  <si>
    <t>Construction of Ratanvav To Paravadi Road (NP) Km.0/000 to 3/500 Ta.Gariyadhar , Dist.; Bhavnagar</t>
  </si>
  <si>
    <t>Construction of Panchvada to Meghvadar Road (NP) Ch. 0/000 to 3/750 Ta.Shihor, Dist.; Bhavnagar</t>
  </si>
  <si>
    <t>Construction of Bhankhal to Piparala Road (NP) Ch.0/000 to 1/850 Ta.Shihor, Dist.; Bhavnagar</t>
  </si>
  <si>
    <t>Suraj Corporation</t>
  </si>
  <si>
    <t>Construction of Slab Drain on Krushnapara Village Joining Highway Road At Ch.0/020 Ta.Shihor , Dist.; Bhavnagar</t>
  </si>
  <si>
    <t>MAHI INFRASTRUCTURE</t>
  </si>
  <si>
    <t>Construction of Ambla To Mahadevpara Road (NP) 0/00-3/200 Ta.Talaja Dist.; Bhavnagar.</t>
  </si>
  <si>
    <t>Construction of Vejodari to Mangela Road (NP) Ch.0/000 to 2/250 Ta. Talaja, Dist. Bhavnagar</t>
  </si>
  <si>
    <t>Construction of Kerala to Mangela Road (NP) Ch.0/000 to 4/000 (Sec.0/000-3/200) Ta. Talaja, Dist. Bhavnagar</t>
  </si>
  <si>
    <t>Construction to Roads of Bhavnagar District Package No. RPC-2/BVN/Normal/2022-23/P.06, Ta. Talaja</t>
  </si>
  <si>
    <t>Shri Siddhi Vinayak Construction</t>
  </si>
  <si>
    <t>GOHIL NARENDRASINH P</t>
  </si>
  <si>
    <t>VANDEMATARAM CONSTRUCTION</t>
  </si>
  <si>
    <t>BALAJI CONSTRUCTION</t>
  </si>
  <si>
    <t>CUBE INFA PROJECTS</t>
  </si>
  <si>
    <t>S D KHUMAN</t>
  </si>
  <si>
    <t>HARBHOLE BUILDERS &amp;
CONSTRUCTION</t>
  </si>
  <si>
    <t>SURYADEEP SUPPLIERS</t>
  </si>
  <si>
    <t>PARTH K MEHTA</t>
  </si>
  <si>
    <t>RUDRA CONSTRUCTION</t>
  </si>
  <si>
    <t>JAY DANEV CONSTRUCTION</t>
  </si>
  <si>
    <t>JAY PUNJESHWAR CONSTRUCTION</t>
  </si>
  <si>
    <t>Jaysukhbhai Dhirubhai Sardhara</t>
  </si>
  <si>
    <t>GANESH BUILDERS</t>
  </si>
  <si>
    <t>KEVAL BUDHESHBHAI BHAYANI</t>
  </si>
  <si>
    <t>HEER CONSTRUCTION</t>
  </si>
  <si>
    <t>HRUTURAJSINH JESUBHA GOHIL</t>
  </si>
  <si>
    <t>MESHWA DEVELOPERS</t>
  </si>
  <si>
    <t>Parishram Construction</t>
  </si>
  <si>
    <t>EAGLE CONSTRUCTION</t>
  </si>
  <si>
    <t>kalubhai bholabhai ladumor</t>
  </si>
  <si>
    <t>R J BHAMMAR CONSTRUCTION</t>
  </si>
  <si>
    <t>GOPNATHJI CONSTRUCTIONS PRIVATE LIMITED</t>
  </si>
  <si>
    <t>TULSI CEMENT PRODUCTS</t>
  </si>
  <si>
    <t>Construction of Primary School Room at Keriya
Ta. Umrala Dist:Bhavnagar</t>
  </si>
  <si>
    <t>shihor</t>
  </si>
  <si>
    <t>KOTAR PRAFULKUMAR RAMESHBHAI</t>
  </si>
  <si>
    <t>Plot No. 15, Survey No. 166/1, GIDC, At. Timbi, Tal. Umrala, Dist. Bhavnagar- 364320</t>
  </si>
  <si>
    <t>185, Reliya Plot Vistar, Reliya, Tal. Talaja, Dist. Bhavnagar-364135</t>
  </si>
  <si>
    <t>Private Limited Company</t>
  </si>
  <si>
    <t>At. Dihor, Tana Varal Road, Shak Market, Ta. Talaja, Dist. Bhavnagar-364150</t>
  </si>
  <si>
    <t>Fulwadi Faliya, Uchchhal-2, Tal. Uchchhal, Dist. Tapi- 394375</t>
  </si>
  <si>
    <t>Survey No. 374 P/A 2-16, Office No. 2, Left side of Entry Gate of Balkrushna Campus, Gir Gadhada Road, At. Una, Taluka Una, Dist. Gir Somnath - 362560</t>
  </si>
  <si>
    <t>KISHANKUMAR PATABHAI KALSARIYA</t>
  </si>
  <si>
    <t>Vivek Construction</t>
  </si>
  <si>
    <t>Construction of Primary School Room at Navajaliya Ta:Shihor Dist:Bhavnagar</t>
  </si>
  <si>
    <t>Construction of Primary School Room at Juna Loinchada Ta. Palitana Dist:Bhavnagar</t>
  </si>
  <si>
    <t>Construction of Primary School Room at Luvarvav Ta. Palitana Dist:Bhavnagar</t>
  </si>
  <si>
    <t>Construction of Primary School Room at Jaliya (Anko) Ta. Palitana Dist:Bhavnagar</t>
  </si>
  <si>
    <t>Construction of Primary School Room at Bhundarakha-2 Ta. Palitana Dist:Bhavnagar</t>
  </si>
  <si>
    <t>Construction of Primary School Room at Motishree Ta. Palitana Dist:Bhavnagar</t>
  </si>
  <si>
    <t>Construction of Primary School Room at Anida (LA) Ta. Palitana Dist:Bhavnagar</t>
  </si>
  <si>
    <t>Construction of Primary School Room at Paniyali Ta.Talaja Dist:Bhavnagar</t>
  </si>
  <si>
    <t>Construction of Primary School Room at Sakhavadar Ta. Talaja Dist:Bhavnagar</t>
  </si>
  <si>
    <t>Construction of Primary School Room at Khambha Ta:Shihor Dist:Bhavnagar</t>
  </si>
  <si>
    <t>Construction of Primary School Room at Khambha Plot Ta:Shihor Dist:Bhavnagar</t>
  </si>
  <si>
    <t>Construction of Primary School Room at Navagam Ta.Palitana Dist:Bhavnagar</t>
  </si>
  <si>
    <t>Construction of Primary School Room at Anida (Kumbhan) Ta. Palitana Dist:Bhavnagar</t>
  </si>
  <si>
    <t>Construction of Primary School Room at Makhaniya Ta. Talaja Dist:Bhavnagar</t>
  </si>
  <si>
    <t>Construction of Primary School Room at Juni Chhapari Ta. Talaja Dist:Bhavnagar</t>
  </si>
  <si>
    <t>Construction of Primary School Room at Sosiya Ta. Talaja Dist:Bhavnagar</t>
  </si>
  <si>
    <t>Construction of Primary School Room at Nichadi Ta. Talaja Dist:Bhavnagar</t>
  </si>
  <si>
    <t>Construction of Primary School Room at Gorkhi Ta. Talaja Dist:Bhavnagar</t>
  </si>
  <si>
    <t>Construction of Primary School Room at Pratapara Ta. Talaja Dist:Bhavnagar</t>
  </si>
  <si>
    <t>Construction of Primary School Room at Dudadhar Ta. Vallabhipur Dist:Bhavnagar</t>
  </si>
  <si>
    <t>Construction of Primary School Room at Loliyana Ta. Vallabhipur Dist:Bhavnagar</t>
  </si>
  <si>
    <t>SHOP NO. 3, GROUND FLOOR, PARVADI GAM, GARIYADHAR SANOSARA ROAD, PARAVADI, TA. GARIYADHAR, DIST. BHAVNAGAR-364505</t>
  </si>
  <si>
    <t>RBD/TRF/e-file/16/2025/3843/Section D1</t>
  </si>
  <si>
    <t>Construction of Primary School Room at Medha Ta.Palitana Dist:Bhavnagar</t>
  </si>
  <si>
    <t>Construction of Primary School Room at Borada Ta. Talaja Dist:Bhavnagar</t>
  </si>
  <si>
    <t>HDFC Bank</t>
  </si>
  <si>
    <t>101GT02252020009</t>
  </si>
  <si>
    <t>A/8, AKSHARDEEP COMPLEX, OPP. DEEPAK MEMORIAL HALL, SANSKAR MANDAL, BHAVNAGAR-364002</t>
  </si>
  <si>
    <t>OFFICE NO.27, ASHTVINAYAK CITY MALL, WAGHAWADI ROAD, BHAVNAGAR-364001</t>
  </si>
  <si>
    <t>101, SHREEEJI ANAND CORNER, NEAR HDFC BANK, TOWER ROAD, PARA, Dist. BOTAD -364710</t>
  </si>
  <si>
    <t>C/732, Kesariya Hanuman Road, Kaliyabid, Bhavnagar-364001</t>
  </si>
  <si>
    <t>Office No.317, Third Floor, Imprerial Arc, Opp Shamaldas College, Waghawadi Road, Bhavnagar-364001</t>
  </si>
  <si>
    <t>SAI DARSHAN PARK, PLOT NO 15, SUBHASNAGAR, BHAVNAGAR-364001</t>
  </si>
  <si>
    <t>Flat No. FF/F3, Hatheshavar Apartment, Bha No Delo, Bhadeva Sheri, Pirchhalla, Bhavnagar-364001</t>
  </si>
  <si>
    <t xml:space="preserve">F-8, 1st Floor, Radhe City Center, Bapa Sitaram Chowk, Talaja, Dist. Bhavnagar
</t>
  </si>
  <si>
    <t>17, Lakhavad, Umrala, Bhavnagar-364230</t>
  </si>
  <si>
    <t>Flat no. 15/22/71, Vadhala Chowk, Near SBI, Kumbhar Sheri, Gadhada, Botad-364750</t>
  </si>
  <si>
    <t>Office No.701, Floor 7, Victoria Height, Iscon Megacity Road, Near Shell Petrol Pump, BHAVNAGAR-364002</t>
  </si>
  <si>
    <t>467, RAMAPIRDHAR, DIHOR, TALAJA, DIST.  BHAVNAGAR -364150</t>
  </si>
  <si>
    <t>487/244, Sagwadi Kaliyabid, Bhavnagar-364001</t>
  </si>
  <si>
    <t>101GT02252020007</t>
  </si>
  <si>
    <t>101GT02252020006</t>
  </si>
  <si>
    <t>101GT02252020011</t>
  </si>
  <si>
    <t>101GT02252020010</t>
  </si>
  <si>
    <t>101GT02252020003</t>
  </si>
  <si>
    <t>101GT02252020014</t>
  </si>
  <si>
    <t>235, Momai Krupa, Bhayani Sheri, Madhada, Ta. Shihor, Dist. Bhavnagar - 364240</t>
  </si>
  <si>
    <t>Construction of Gram Panchayat office (Frame structure) at Village Budhana Taluka: Shihor Dist. Bhavnagar</t>
  </si>
  <si>
    <t>Construction of Gram Panchayat office (Frame structure) at Village Madhada Taluka:Shihor Dist. Bhavnagar</t>
  </si>
  <si>
    <t>Siddharth Parbatbhai Bed</t>
  </si>
  <si>
    <t>Construction of Gram Panchayat office (Frame structure) at Village Karla Tal. Jesar Dist. Bhavnagar</t>
  </si>
  <si>
    <t>Construction of Gram Panchayat office (Frame structure) at Village Chiroda Tal. Jesar Dist. Bhavnagar</t>
  </si>
  <si>
    <t>Construction of Gram Panchayat office (Frame structure) at Village Shantinagar Tal. Jesar Dist. Bhavnagar</t>
  </si>
  <si>
    <t>Construction of Gram Panchayat office (Frame structure) at Village Shevadivadar Tal. Jesar Dist. Bhavnagar</t>
  </si>
  <si>
    <t>Construction of Gram Panchayat office (Frame structure) at Village Tol Saladi Chotili Tal. Jesar Dist. Bhavnagar</t>
  </si>
  <si>
    <t>Construction of Gram Panchayat office (Frame structure) at Village Senjaliya Ta. Palitana Dist. Bhavnagar</t>
  </si>
  <si>
    <t>Construction of Gram Panchayat office (Frame structure) at Village Pithalpur Ta. Palitana Dist. Bhavnagar</t>
  </si>
  <si>
    <t>Construction of Gram Panchayat office (Frame structure) at Village Nani Paniyali Ta. Palitana Dist. Bhavnagar</t>
  </si>
  <si>
    <t>Construction of Gram Panchayat office (Frame structure) at Village Hanol Ta. Palitana Dist. Bhavnagar</t>
  </si>
  <si>
    <t>Construction of Gram Panchayat office (Frame structure) at Village Nanimal Tal. Palitana Dist. Bhavnagar</t>
  </si>
  <si>
    <t>Construction of Gram Panchayat office (Frame structure) at Village Khadsaliya Tal. Mahuva Dist. Bhavnagar</t>
  </si>
  <si>
    <t>Construction of Gram Panchayat office (Frame structure) at Village Lusadi Tal. Mahuva Dist. Bhavnagar</t>
  </si>
  <si>
    <t>Construction of Gram Panchayat office (Frame structure) at Village Loyanga Tal. Mahuva Dist. Bhavnagar</t>
  </si>
  <si>
    <t>Construction of Gram Panchayat office (Frame structure) at Village Bhaguda-Mahuva Dist. Bhavnagar</t>
  </si>
  <si>
    <t>Construction of Gram Panchayat office (Frame structure) at Village Kalela Ta. Mahuva Dist. Bhavnagar</t>
  </si>
  <si>
    <t>Construction of Gram Panchayat office (Frame structure) at Village Bila Tal. Jesar Dist. Bhavnagar</t>
  </si>
  <si>
    <t>Construction of Gram Panchayat office (Frame structure) at Village Padhiyarka Tal. Mahuva Dist. Bhavnagar</t>
  </si>
  <si>
    <t>Construction of Gram Panchayat office (Frame structure) at Village Bhadara Tal. Mahuva Dist. Bhavnagar</t>
  </si>
  <si>
    <t>Construction of Gram Panchayat office (Frame structure) at Village Madhuvan Tal. Talaja Dist. Bhavnagar</t>
  </si>
  <si>
    <t>Construction of Gram Panchayat office (Frame structure) at Village Velavadar Taluka: Bhavnagar Dist. Bhavnagar</t>
  </si>
  <si>
    <t>Construction of Gram Panchayat office (Frame structure) at Village Bhadbhid Taluka: Bhavnagar Dist. Bhavnagar</t>
  </si>
  <si>
    <t>Construction of Gram Panchayat office (Frame structure) at Village Ganeshgadh Taluka: Bhavnagar Dist. Bhavnagar</t>
  </si>
  <si>
    <t>Construction of Gram Panchayat office (Frame structure) at Village Manvilas Taluka: Gariyadhar Dist. Bhavnagar</t>
  </si>
  <si>
    <t>Construction of Gram Panchayat office (Frame structure) at Village Panchtobara Taluka: Gariyadhar Dist. Bhavnagar</t>
  </si>
  <si>
    <t>Construction of Gram Panchayat office (Frame structure) at Village Mangadh Taluka:Gariyadhar Dist. Bhavnagar</t>
  </si>
  <si>
    <t>Construction of Gram Panchayat office (Frame structure) at Village Gujarada Taluka: Gariyadhar Dist. Bhavnagar</t>
  </si>
  <si>
    <t>Construction of Gram Panchayat office (Frame structure) at Village Kharadi Taluka: Gariyadhar Dist. Bhavnagar</t>
  </si>
  <si>
    <t>Construction of Gram Panchayat office (Frame structure) at Village Garibpura Taluka: Gariyadhar Dist. Bhavnagar</t>
  </si>
  <si>
    <t>Construction of Gram Panchayat office (Frame structure) at Village Lakhanka Taluka: Ghogha Dist. Bhavnagar</t>
  </si>
  <si>
    <t>Construction of Gram Panchayat office (Frame structure) at Village Kankot Taluka: Ghogha Dist. Bhavnagar</t>
  </si>
  <si>
    <t>Construction of Gram Panchayat office (Frame structure) at Village Bhandar Taluka: Ghogha Dist. Bhavnagar</t>
  </si>
  <si>
    <t>Construction of Gram Panchayat office (Frame structure) at Village Malekvadar Taluka:Ghogha Dist. Bhavnagar</t>
  </si>
  <si>
    <t>Construction of Gram Panchayat office (Frame structure) at Village Ranparda Taluka: Mahuva Dist. Bhavnagar</t>
  </si>
  <si>
    <t>Construction of Gram Panchayat office (Frame structure) at Village Titodiya Taluka: Mahuva Dist. Bhavnagar</t>
  </si>
  <si>
    <t>Construction of Gram Panchayat office (Frame structure) at Village Chardika Taluka: Mahuva Dist. Bhavnagar</t>
  </si>
  <si>
    <t>Construction of Gram Panchayat office (Frame structure) at Village Nana Pipalva Taluka:Mahuva Dist. Bhavnagar</t>
  </si>
  <si>
    <t>Construction of Gram Panchayat office (Frame structure) at Village Navagam Talika:Palitana Dist. Bhavnagar</t>
  </si>
  <si>
    <t>Construction of Gram Panchayat office (Frame structure) at Village Vadod Taluka: Umrala Dist. Bhavnagar</t>
  </si>
  <si>
    <t>Construction of Gram Panchayat office (Frame structure) at Village Ramanka Taluka: Umrala Dist. Bhavnagar</t>
  </si>
  <si>
    <t>Construction of Gram Panchayat office (Frame structure) at Village Dharwala Taluka: Umrala Dist. Bhavnagar</t>
  </si>
  <si>
    <t>Construction of Gram Panchayat office (Frame structure) at Village Ingorala Taluka: Umrala Dist. Bhavnagar</t>
  </si>
  <si>
    <t>Construction of Gram Panchayat office (Frame structure) at Village Hadmatiya Taluka: Umrala Dist. Bhavnagar</t>
  </si>
  <si>
    <t>Construction of Gram Panchayat office (Frame structure) at Village Samadhiyala Taluka: Umrala Dist. Bhavnagar</t>
  </si>
  <si>
    <t>Construction of Gram Panchayat office (Frame structure) at Village Khijadiya Taluka: Umrala Dist. Bhavnagar</t>
  </si>
  <si>
    <t>Construction of Gram Panchayat office (Frame structure) at Village Dhundhsar Taluka:Shihor Dist. Bhavnagar</t>
  </si>
  <si>
    <t>Construction of Gram Panchayat office (Frame structure) at Village Bhutiya Taluka: Shihor Dist. Bhavnagar</t>
  </si>
  <si>
    <t>Construction of Gram Panchayat office (Frame structure) at Village Karmadiya Taluka: Shihor Dist. Bhavnagar</t>
  </si>
  <si>
    <t>Construction of Gram Panchayat office (Frame structure) at Village Sakhvadar Taluka.Shihor Dist. Bhavnagar</t>
  </si>
  <si>
    <t>Construction of Gram Panchayat office (Frame structure) at Village Dhankankunda Taluka:Shihor Dist. Bhavnagar</t>
  </si>
  <si>
    <t>Construction of Gram Panchayat office (Frame structure) at Village Khakhariya Taluka: Shihor Dist. Bhavnagar</t>
  </si>
  <si>
    <t>Construction of Gram Panchayat office (Frame structure) at Village Khari Taluka:shihor Dist. Bhavnagar</t>
  </si>
  <si>
    <t>Construction of Gram Panchayat office (Frame structure) at Village Sandhida Taluka: Shihor Dist. Bhavnagar</t>
  </si>
  <si>
    <t>Construction of Gram Panchayat office (Frame structure) at Village Zariya Taluka:Shihor Dist. Bhavnagar</t>
  </si>
  <si>
    <t>Construction of Gram Panchayat office (Frame structure) at Village Juni Chhapari Taluka: Talaja Dist. Bhavnagar</t>
  </si>
  <si>
    <t>Construction of Gram Panchayat office (Frame structure) at Village Vejodari Taluka: Talaja Dist. Bhavnagar</t>
  </si>
  <si>
    <t>Construction of Gram Panchayat office (Frame structure) at Village Bhalar Taluka: Talaja Dist. Bhavnagar</t>
  </si>
  <si>
    <t>Construction of Gram Panchayat office (Frame structure) at Village Mangela Taluka: Talaja Dist. Bhavnagar</t>
  </si>
  <si>
    <t>Construction of Gram Panchayat office (Frame structure) at Village Gadhesar Taluka:Talaja Dist. Bhavnagar</t>
  </si>
  <si>
    <t>Construction of Gram Panchayat office (Frame structure) at Village Vavadi Taluka: Talaja Dist. Bhavnagar</t>
  </si>
  <si>
    <t>Construction of Gram Panchayat office (Frame structure) at Village Ghantarvala Taluka: Talaja Dist. Bhavnagar</t>
  </si>
  <si>
    <t>Construction of Gram Panchayat office (Frame structure) at Village Bhadraval-1 Taluka: Talaja Dist. Bhavnagar</t>
  </si>
  <si>
    <t>Construction of Gram Panchayat office (Frame structure) at Village Ayavej-1 Tal. Jesar Dist. Bhavnagar</t>
  </si>
  <si>
    <t>Construction of Gram Panchayat office (Frame structure) at Village Datretiya Taluka: Vallabhipur Dist. Bhavnagar</t>
  </si>
  <si>
    <t>Construction of Gram Panchayat office (Frame structure) at Village Kalyanpur Taluka:Vallabhipur Dist. Bhavnagar</t>
  </si>
  <si>
    <t>Construction of Gram Panchayat office (Frame structure) at Village Meghavadar Taluka: Vallbhipur Dist. Bhavnagar</t>
  </si>
  <si>
    <t>Construction of Gram Panchayat office (Frame structure) at Village Pipariya Taluka:Vallabhipur Dist. Bhavnagar</t>
  </si>
  <si>
    <t>Construction of Gram Panchayat office (Frame structure) at Village Chada Taluka: Vallabhipur Dist. Bhavnagar</t>
  </si>
  <si>
    <t>At Hemal, Ta. Jafarabad, Dist. Amreli - 365545</t>
  </si>
  <si>
    <t>Mangukiya Vishal Gunvantbhai</t>
  </si>
  <si>
    <t>Pandya Dhairya Bhanushankar</t>
  </si>
  <si>
    <t>At Block No. 296, Street No. 11, Rayjinagar Society, Motibaug Road, Junagadh, Dist. Junagadh</t>
  </si>
  <si>
    <t>27, Ganesh Villa Bunglows, Rasian Nagar Society Same, Sidhdhapur Highway Road, Patan</t>
  </si>
  <si>
    <t>Modi Bhavik Nareshkumar</t>
  </si>
  <si>
    <t>Pratapbhai Lakhubhai Beparia</t>
  </si>
  <si>
    <t>At Lothpur, Ta. Jafarabad, Dist. Amreli - 365540</t>
  </si>
  <si>
    <t>Plot No. 1578/I, New Champa Tenament, Divadi Road, Rupani Circle, Bhavnagar - 364002</t>
  </si>
  <si>
    <t>PARTH Kiritkumar MEHTA</t>
  </si>
  <si>
    <t>Sanjaysinh Rajendrasinh Gohil</t>
  </si>
  <si>
    <t>184, Darbar Street, Wadi Area, Navagam (Nana) Ta. Ghogha. Dist. Bhavnagar</t>
  </si>
  <si>
    <t>At Po. Karmadiya, Via Thaliya, Ta. Mahuva, Dist. Bhavnagar - 364145</t>
  </si>
  <si>
    <t>Labhshankar ladhva</t>
  </si>
  <si>
    <t xml:space="preserve">(1) Batiya Vishalbhai Vinubhai
(2) Dhandhukiya Umeshbhai </t>
  </si>
  <si>
    <t>Majithiya Dhruvin Nareshbhai</t>
  </si>
  <si>
    <t>Shop No. 6, Nilkanth Shopping, Opp. S.T. Workshop, Gariyadhar, Dist. Bhavnagar - 364505</t>
  </si>
  <si>
    <t>Kanubhai Nagbhai Sandsur</t>
  </si>
  <si>
    <t xml:space="preserve">                                                                                                                                                                                                                                                                                                                                                                                                                                                                                                                                                                                                                                                                                                                                                                                                                                                                                                                                                                                                                                                                                                                                                                                                                                                                                                                                                                                                                                                                                                                                                                                                                                                                                                                                                                                                                                                                                                                                                                                                                                                                                                                                                                                                                                                                                                                                                                                                                                                                                                                                                                                                                                                                                                                                                                                                                                                                                                                                                                                                                                                                                                                                                                                                                                                                                                                                                                                                                                                                                                                                                                                                                                                                                                                                                                                                                                                                                                                                                                                                                                                                                                                                                                                                                                                                                                                                                                                                                                                                                                                                                                                                                                                                                                                                                                                                                                                                                                                                                                                                                                                                                                                                                                                                                                                                                                                                                                                                                                                                                                                                                                                                                                                                                                                                                                                                                                                                                                                                                                                                                                                                                                                                                                                                                                                                                                                                                                                                                                                                                                                                                                                                                                                                                                                                                                                                                                                                                                                                                                                                                                                                                                                                                                                                                                                                                                                                                                                                                                                                                                                                                                                                                                                                                                                                                                                                                                                                                                                                                                                                                                                                                                                                                                                                                                                                                                                                                                                                                                                                                                                                                                                                                                                                                                                                                                                                                                                                                                                                                                                                                                                                                                                                                                                                                                                                                                                                                                                                                                                                                                                                                                                                                                                                                                                                                                                                                                                                                                                                                                                                                                                                                                                                </t>
  </si>
  <si>
    <t>Sanjaykumar Nandlal Raiyani</t>
  </si>
  <si>
    <t>Plot No. 37, Street No. 5, Gautameshvar Nagar-2, Chitra, Bhavnagar - 364001</t>
  </si>
  <si>
    <t>At Bordi, Post - Borda, Ta. Talaja, Dist. Bhavnagar - 364130</t>
  </si>
  <si>
    <t xml:space="preserve">At Village Chardika, Ta. Mahuva, Dist. Bhavnagar - </t>
  </si>
  <si>
    <t>Construction of Gram Panchayat office ( for Population from 5000- 10000) at Village Boradi Tal. Mahuva Dist. Bhavnagar</t>
  </si>
  <si>
    <t>Construction of Gram Panchayat office ( for Population from 5000- 10000) at Village Uncha Kotda Tal. Mahuva Dist. Bhavnagar</t>
  </si>
  <si>
    <t>At Tana, Tal. Shihor, Dist. Bhavnagar - 364260</t>
  </si>
  <si>
    <t>52, Lion Shopping Center, Near Kohinoor Hotel, Jafarabad Road, Rajula, Dist. Amreli - 365560</t>
  </si>
  <si>
    <t>Khuman Shivrajbhai Dilubhai</t>
  </si>
  <si>
    <t>At Village Rajapara (Thadach), Ta. Palitana, Dist. Bhavnagar - 364270</t>
  </si>
  <si>
    <t>Near Gayatri Temple, Veraval Road, Una, Dist. Gir Somnath - 362560</t>
  </si>
  <si>
    <t>Construction of Gram Panchayat office ( for Population from 5000- 10000) at Village Hathab Tal. Bhavangar Dist. Bhavnagar</t>
  </si>
  <si>
    <t>101GT02252020013</t>
  </si>
  <si>
    <t>Construction of Pachhegam Approach Road Km 0/0 to 2/400, Ta. Gariyadhar, Dist. Bhavnagar</t>
  </si>
  <si>
    <t>Construction of Navaniya Kanthariya Road Km 0/0 to 4/500, Ta. Vallabhipur, Dist. Bhavnagar</t>
  </si>
  <si>
    <t>Construction of Pithalpur Gadhula Road Km 0/0 to 2/700, Ta. Talaja, Dist. Bhavnagar</t>
  </si>
  <si>
    <t>Construction of Padargadh Borada Road Km 0/0 to 2/750, Ta. Talaja, Dist. Bhavnagar</t>
  </si>
  <si>
    <t>Construction of Mota Charodiya Jagatpir Ashram Road Km 0/0 to 1/800, Ta. Gariyadhar, Dist. Bhavnagar</t>
  </si>
  <si>
    <t>Construction of Gopnath joining to Mastramdhara link Road Km 0/0 to 2/250, Ta. Talaja, Dist. Bhavnagar</t>
  </si>
  <si>
    <t>Resurfacing to Roads of Bhavnagar District Package no. RPC-2/BVN/MMGSY/Normal/2024-25/P.04 Ta. Shihor, Dist. Bhavnagar</t>
  </si>
  <si>
    <t>Resurfacing and Routine Maintenance to Roads of Bhavnagar District Package no. RPC-2/BVN/MMGSY/Normal/2024-25/P.02 Ta. Bhavnagar Ghogha, Dist. Bhavnagar</t>
  </si>
  <si>
    <t>Resurfacing of Biladi Nana Mota Pipalava Kankot Road (Sec. Pipalava to Kankot) Km 0/0 to 1/800, Ta. Mahuva, Dist. Bhavnagar</t>
  </si>
  <si>
    <t>Construction Cement Concrete Roads of Bhavnagar District Package No. RPC-2/BVN/Suvidhapath/2024-25/P.09, Ta. Vallabhipur, Dist. Bhavnagar</t>
  </si>
  <si>
    <t>Construction Cement Concrete Roads of Bhavnagar District Package No. RPC-2/BVN/Suvidhapath/2024-25/P.12, Ta. Palitana, Dist. Bhavnagar</t>
  </si>
  <si>
    <t>Construction of PanchTobara Gangajaliya To Malvali Road To Ratanvav Surnivas Road Km 0/0 to 2/200, Ta. Gariyadhar, Dist. Bhavnagar</t>
  </si>
  <si>
    <t>Remaining works of Gram Panchayat office Building (Frame Structure) Gariyadhar Taluka Package No. 2017-18/18 (Shivendranagar, Moti Vavdi, Rupavati), Dist. Bhavnagar</t>
  </si>
  <si>
    <t>101GT02252020004</t>
  </si>
  <si>
    <t>101GT02252020008</t>
  </si>
  <si>
    <t>101GT02252020015</t>
  </si>
  <si>
    <t>AU SMALL FINANCE BANK LTD</t>
  </si>
  <si>
    <t>AOAIPBG251900001</t>
  </si>
  <si>
    <t>(1) Harshad Kalubhai Dungrani
(2) Lalita Harshad Dungrani</t>
  </si>
  <si>
    <t>Construction of Gram Panchayat office ( for Population from 5000- 10000) at Village Khadsaliya Tal. Bhavnagar Dist. Bhavnagar</t>
  </si>
  <si>
    <t>MOGAL CONSTRUCTION, Gir Somnath</t>
  </si>
  <si>
    <t>Paresh Lakhabhai Jora</t>
  </si>
  <si>
    <t>At Umba, Taluka - Veraval, Dist. Gir Somnath - 362255</t>
  </si>
  <si>
    <t>ICICI BANK</t>
  </si>
  <si>
    <t>RPC-2/Tender/Bhavbagar/210</t>
  </si>
  <si>
    <t>RPC-2/Tender/Bhavbagar/211</t>
  </si>
  <si>
    <t>RPC-2/Tender/Bhavbagar/212</t>
  </si>
  <si>
    <t>Bank of Baroda</t>
  </si>
  <si>
    <t>95560300010767</t>
  </si>
  <si>
    <t>95560300010766</t>
  </si>
  <si>
    <t>00000044367295159</t>
  </si>
  <si>
    <t>00000044367322253</t>
  </si>
  <si>
    <t>00000044293876825</t>
  </si>
  <si>
    <t>50301195323355</t>
  </si>
  <si>
    <t>50301193104650</t>
  </si>
  <si>
    <t>Construction of Primary School Room at Chitravav Ta. Umrala Dist:Bhavnagar</t>
  </si>
  <si>
    <t>V M ENTERPRISE</t>
  </si>
  <si>
    <t>Construction of Primary School Room at Keriya Ta. Umrala Dist:Bhavnagar</t>
  </si>
  <si>
    <t>Construction of Primary School Room at Jaliya (AM) Ta. Palitana Dist:Bhavnagar</t>
  </si>
  <si>
    <t>At Modhuka, Ta. Vinchhiya, Dist. Rajkot</t>
  </si>
  <si>
    <t>A-302 Shree Nand Elite, Nr.Ustav velly Flat, Nikol Gam Road, Ahemdabad                         Pin-382350</t>
  </si>
  <si>
    <t>Construction of Nandghar (Anganvadi) Building at Village Bagdana-3 Tal. Mahuva Dist. Bhavnagar</t>
  </si>
  <si>
    <t>Construction of Nandghar (Anganvadi) Building at Village Lusadi Tal. Mahuva Dist. Bhavnagar</t>
  </si>
  <si>
    <t>Work of Constructing, Strengthening and Resurfacing of various important roads as and when required or in emergency under bhavnagar district (Panchayat) (Annual Rate)</t>
  </si>
  <si>
    <t>Conctruction Work of New Cross Drainage, Repairing Cross Drainage, Structure and Bridge Repair work and other Misc. work various roads as and when  required or in emergency under bhavnagar district (Panchayat) (Annual Rate)</t>
  </si>
  <si>
    <t>Empanelment of Service Providing from consultants for Tender Uploading, Tender Opening and prepare Tender Approval Proposal under R &amp; B (Panchayat) Division, Bhavnagar</t>
  </si>
  <si>
    <t>SHREEJI STONE INDUSTRIES</t>
  </si>
  <si>
    <t>RUDRA CONSTRUCTION COMPANY</t>
  </si>
  <si>
    <t>Consultant</t>
  </si>
  <si>
    <t>Harekrishna Construction</t>
  </si>
  <si>
    <t>SHIVAM CONSTRUCTION</t>
  </si>
  <si>
    <t>Bhupatbhai B. Baraiya</t>
  </si>
  <si>
    <t xml:space="preserve">RAJABHAI NAGJIBHAI ZALA </t>
  </si>
  <si>
    <t>C.M.CONSTRUCTION</t>
  </si>
  <si>
    <t>SHIVGADH BUILDERS</t>
  </si>
  <si>
    <t>RAJ SECURITY SERVICES</t>
  </si>
  <si>
    <t>964500PU00000397</t>
  </si>
  <si>
    <t>964500PU00000388</t>
  </si>
  <si>
    <t>Design, Supply, Construct, Erection and Commissioning of Modular Structure through 3D Monolithic Precast Technology for AWC (Anganvadi Center) at various locations at Gir Somnath, Junagadh, Bhavnagar Districts in the Gujarat State, Phase 2 Package 4</t>
  </si>
  <si>
    <t>HARI OM CONSTRUCTION CO.</t>
  </si>
  <si>
    <t>JAYDEEP CONSTRUCTION CO</t>
  </si>
  <si>
    <t xml:space="preserve">Construction of Gram Panchayat office (Frame structure) at Village Ranivada Tal. Mahuva Dist. Bhavnagar </t>
  </si>
  <si>
    <t>Construction of Gram Panchayat office (Frame structure) at Village Gadhada Tal. Mahuva Dist. Bhavnagar</t>
  </si>
  <si>
    <t>Construction of Gram Panchayat office (Frame structure) at Village Juna Jaliya Tal. Shihor Dist. Bhavnagar</t>
  </si>
  <si>
    <t>Construction of Gram Panchayat office (Frame structure) at Village Jasvantpur Taluko: Bhavnagar Dist. Bhavnagar</t>
  </si>
  <si>
    <t>Construction of Gram Panchayat office (Frame structure) at Village Bhojpara Taluka: Bhavnagar Dist. Bhavnagar</t>
  </si>
  <si>
    <t>Construction of Gram Panchayat office (Frame structure) at Village Paliyad Taluka: Bhavnagar Dist. Bhavnagar</t>
  </si>
  <si>
    <t>Construction of Gram Panchayat office (Frame structure) at Village Rajgadh Taluka: Bhavnagar Dist. Bhavnagar</t>
  </si>
  <si>
    <t>Construction of Gram Panchayat office (Frame structure) at Village Adhelai Tal. Bhavnagar Dist. Bhavnagar</t>
  </si>
  <si>
    <t>Construction of Gram Panchayat office (Frame structure) at Village Chomal Taluka: Gariyadhar Dist. Bhavnagar</t>
  </si>
  <si>
    <t>Construction of Gram Panchayat office (Frame structure) at Village Jaliya Taluka: Gariyadhar Dist. Bhavnagar</t>
  </si>
  <si>
    <t>Construction of Gram Panchayat office (Frame structure) at Village Ranigam Taluka: Gariyadhar Dist. Bhavnagar</t>
  </si>
  <si>
    <t>Construction of Gram Panchayat office (Frame structure) at Village Hoidad Taluka: Ghogha Dist. Bhavnagar</t>
  </si>
  <si>
    <t>Construction of Gram Panchayat office (Frame structure) at Village Biladi Taluka: Mahuva Dist. Bhavnagar</t>
  </si>
  <si>
    <t xml:space="preserve">Construction of Gram Panchayat office (Frame structure) at Village Valavav Taluka: Mahuva Dist. Bhavnagar </t>
  </si>
  <si>
    <t>Construction of Gram Panchayat office (Frame structure) at Village Taveda Taluka: Mahuva Dist. Bhavnagar</t>
  </si>
  <si>
    <t>Construction of Gram Panchayat office (Frame structure) at Village Lakhupura Taluka:Mahuva Dist. Bhavnagar</t>
  </si>
  <si>
    <t>Construction of Gram Panchayat office (Frame structure) at Village Vaghvadarda Taluka: Mahuva Dist. Bhavnagar</t>
  </si>
  <si>
    <t xml:space="preserve"> Construction of Gram Panchayat office (Frame structure) at Village Tared Taluka : Mahuva Dist. Bhavnagar</t>
  </si>
  <si>
    <t>Construction of Gram Panchayat office (Frame structure) at Village Chokva Taluka: Mahuva Dist. Bhavnagar</t>
  </si>
  <si>
    <t>Construction of Gram Panchayat office (Frame structure) at Village Kakidi Taluka: Mahuva Dist. Bhavnagar</t>
  </si>
  <si>
    <t xml:space="preserve"> Construction of Gram Panchayat office (Frame structure) at Village Moti Vadal Taluka: Mahuva Dist. Bhavnagar</t>
  </si>
  <si>
    <t>Construction of Gram Panchayat office (Frame structure) at Village Visavadar Taluka: Mahuva Dist. Bhavnagar</t>
  </si>
  <si>
    <t>Construction of Gram Panchayat office (Frame structure) at Village Nikol Taluka: Mahuva Dist. Bhavnagar</t>
  </si>
  <si>
    <t>Construction of Gram Panchayat office (Frame structure) at Village Borla Taluka:Mahuva Dist. Bhavnagar</t>
  </si>
  <si>
    <t>Construction of Gram Panchayat office (Frame structure) at Village Maliya Taluka:Mahuva Dist. Bhavnagar</t>
  </si>
  <si>
    <t>Construction of Gram Panchayat office (Frame structure) at Village Amrutwel Taluka: Mahuva Dist. Bhavnagar</t>
  </si>
  <si>
    <t>Construction of Gram Panchayat office (Frame structure) at Village Fachara Taluka: Palitana Dist. Bhavnagar</t>
  </si>
  <si>
    <t>Construction of Gram Panchayat office (Frame structure) at Village Dharuka Taluka: Umrala Dist. Bhavnagar</t>
  </si>
  <si>
    <t xml:space="preserve"> Construction of Gram Panchayat office (Frame structure) at Village Karkoliya Taluka: Shihor Dist. Bhavnagar </t>
  </si>
  <si>
    <t xml:space="preserve"> Construction of Gram Panchayat office (Frame structure) at Village Navagam (Mo) Taluka: Shihor Dist. Bhavnagar </t>
  </si>
  <si>
    <t>Construction of Gram Panchayat office (Frame structure) at Village Panchvada Taluka:Shihor Dist. Bhavnagar</t>
  </si>
  <si>
    <t>Construction of Gram Panchayat office (Frame structure) at Village Kantodiya Taluka: Shihor Dist. Bhavnagar</t>
  </si>
  <si>
    <t>Construction of Gram Panchayat office (Frame structure) at Village Nana Surka Taluka:Shihor Dist. Bhavnagar</t>
  </si>
  <si>
    <t>Construction of Gram Panchayat office (Frame structure) at Village Sendarda Taluka: Shihor Dist. Bhavnagar</t>
  </si>
  <si>
    <t>Construction of Gram Panchayat office (Frame structure) at Village Vav Taluka: Shihor Dist. Bhavnagar</t>
  </si>
  <si>
    <t>Construction of Gram Panchayat office (Frame structure) at Village Mundakidhar Taluka: Jesar Dist. Bhavnagar</t>
  </si>
  <si>
    <t>Construction of Nandghar (Anganvadi) Building at Village Kumbhariya Tal. Mahuva Dist. Bhavnagar</t>
  </si>
  <si>
    <t xml:space="preserve"> Construction of Nandghar (Anganvadi) Building at Village Titodiya Tal. Mahuva Dist. Bhavnagar</t>
  </si>
  <si>
    <t>Construction of Nandghar (Anganvadi) Building at Village Gundarani Tal. Mahuva Dist. Bhavnagar</t>
  </si>
  <si>
    <t>Construction of Nandghar (Anganvadi) Building at Village Mota Khuntvada-3 Tal. Mahuva Dist. Bhavnagar</t>
  </si>
  <si>
    <t>Construction of Nandghar (Anganvadi) Building at Village Vaghavadarda Tal. Mahuva Dist. Bhavnagar</t>
  </si>
  <si>
    <t>Construction of Nandghar (Anganvadi) Building at Village Dudana Tal. Mahuva Dist. Bhavnagar</t>
  </si>
  <si>
    <t>Construction of Compound wall around Manharkuvarbaa Rajput Vidhyasankul Trust-Bhavnagar Managed by Kanya Vidhyalay &amp; Kanya Chhatralay Campus Vartej. Tal. Bhavnagar Dist. Bhavnagar (Under MP Grant Kesaridevsinh Zala)</t>
  </si>
  <si>
    <t>Construction of Nandghar (Anganvadi) Building at Bordi Tal. Talaja Dist. Bhavnagar</t>
  </si>
  <si>
    <t>Construction of Taluka Panchayat Building at Mahuva, Dist. Bhavnagar</t>
  </si>
  <si>
    <t>RPC-2/Tender/Bhavbagar/213</t>
  </si>
  <si>
    <t>RBD/TRF/e-file/16/2025/4869/Section D1</t>
  </si>
  <si>
    <t>At Gadhula, Ta. Shihor, Dist. Bhavnagar - 364230</t>
  </si>
  <si>
    <t>Construction of Langala to Dedakadi Road Km 0/0 to 2/400, Ta. Vallabhipur, Dist. Bhavnagar</t>
  </si>
  <si>
    <t>50301205687021</t>
  </si>
  <si>
    <t>50301205697402</t>
  </si>
  <si>
    <t>771613001589</t>
  </si>
  <si>
    <t>771613001587</t>
  </si>
  <si>
    <t>771613001585</t>
  </si>
  <si>
    <t>771613001588</t>
  </si>
  <si>
    <t>771613001586</t>
  </si>
  <si>
    <t>INDIAN BANK</t>
  </si>
  <si>
    <t>Central Bank of India</t>
  </si>
  <si>
    <t>SARVAIYA RAJENDRASINH BAHADURSINH</t>
  </si>
  <si>
    <t>91640300004640</t>
  </si>
  <si>
    <t>Pending WO</t>
  </si>
  <si>
    <t>RPC-2/Tender/Bhavbagar/236</t>
  </si>
  <si>
    <t>RBD/TRF/e-file/16/2025/4871/Section D1</t>
  </si>
  <si>
    <t>RBD/TRF/e-file/16/2025/4865/Section D1</t>
  </si>
  <si>
    <t>RBD/TRF/e-file/16/2025/4866/Section D1</t>
  </si>
  <si>
    <t>RBD/TRF/e-file/16/2025/5176/Section D1</t>
  </si>
  <si>
    <t>SH-404, Amazing Star, Opp. Vishvamitri Society, Varachha, Surat - 395006</t>
  </si>
  <si>
    <t>The Kalupur Commercial Co-Op. Bank Ltd.</t>
  </si>
  <si>
    <t>2895400010464</t>
  </si>
  <si>
    <t>2895400010465</t>
  </si>
  <si>
    <t>50301204707986</t>
  </si>
  <si>
    <t>50301204708710</t>
  </si>
  <si>
    <t>Union Bank of India</t>
  </si>
  <si>
    <t>348803060081616</t>
  </si>
  <si>
    <t>162313004875</t>
  </si>
  <si>
    <t>162313004877</t>
  </si>
  <si>
    <t>162313004874</t>
  </si>
  <si>
    <t>162313004876</t>
  </si>
  <si>
    <t>RBD/TRF/e-file/16/2025/5166/Section D1</t>
  </si>
  <si>
    <t>Construction of Gram Panchayat office (Frame structure) at Village Rajpara (Khodiyar) Taluka: Shihor Dist. Bhavnagar</t>
  </si>
  <si>
    <t>Construction of Gram Panchayat office (Frame structure) at Village Nani-Moti Sodvadri Taluka: Mahuva Dist. Bhavnagar</t>
  </si>
  <si>
    <t>Construction of Gram Panchayat office (Frame structure) at Village Anandpur-Pipalva Taluka: Gariyadhar Dist. Bhavnagar</t>
  </si>
  <si>
    <t>Construction of Gram Panchayat office ( for Population from 5000- 10000) at Village Ambla Tal. Shihor Dist. Bhavnagar</t>
  </si>
  <si>
    <t>Construction of Community hall at Shirvaniya Area Village Parwala Tal. Umrala Dist. :- Bhavnagar</t>
  </si>
  <si>
    <t>Construction of Community Hall at Aanandpar Village Tal.Gariyadhar Dist. Bhavnagar</t>
  </si>
  <si>
    <t>Construction of Nandghar (Anganvadi) Building at Tarakpaladi Tal. Shihor Dist. Bhavnagar</t>
  </si>
  <si>
    <t>Providing wire fencing At Songadh rest house compus At. Shihor Dist. Bhavnagar</t>
  </si>
  <si>
    <t>Construction of CD Works on Thoradi villlage to High school Road (NP) Ta. Bhavnagar Dist. Bhavnagar</t>
  </si>
  <si>
    <t>Construction of Bus Stand of Ambla Tal. Sihor Dist. Bhavnagar</t>
  </si>
  <si>
    <t>Repairing of Vallabhipur Deputy executive engineer Quarter at Vallabhipur Taluka Dist:- Bhavnagar</t>
  </si>
  <si>
    <t>Construction of C.C. Road Tirupati temple Road Joining to Ambla-Kumbhan Road Ta.:- Shihor, Dist.:- Bhavnagar</t>
  </si>
  <si>
    <t xml:space="preserve"> Construction of Vejodari to Mangela Road (NP) Ch.0/000 to 2/250 Ta.Talaja , Dist.; Bhavnagar. (Under MMGSY-Normal2024-25)</t>
  </si>
  <si>
    <t xml:space="preserve">Construction of Kerala to Mangela Road (NP) Ch.0/000 to 4/000 (Sec.0/000-3/200) Ta.Talaja , Dist.; Bhavnagar. (Under MMGSY-Normal-2024-25) </t>
  </si>
  <si>
    <t>Construction of CD Work on the Road from Vadal village in Palitana taluka to Kotiya village in Mahuva taluka Ta.:- Palitana, Dist.:- Bhavnagar</t>
  </si>
  <si>
    <t>Repair Building</t>
  </si>
  <si>
    <t>Construction of CD Work on At Bagad River the Road from Ralgon village in Talaja taluka to Kotiya village in Mahuva taluka Road (NP) Ta.:- Talaja, Dist.:- Bhavnagar</t>
  </si>
  <si>
    <t>Empanelment of service
Providing from consultants for Tender Uploading, Tender opening, and Prepare
Tender approval proposal under R&amp;B (Panchayat) Division, Bhavnagar</t>
  </si>
  <si>
    <t>ANSH INFRASTRUCTURE</t>
  </si>
  <si>
    <t>Shri Harikrishna Construction</t>
  </si>
  <si>
    <t>SHRI SAINATH CONSTRUCTION
COMPANY</t>
  </si>
  <si>
    <t>Improvement of Devgana to Kharakadi Road (VRNP) Km.0/000-2/950 Ta.Shihor, Dist.; Bhavnagar</t>
  </si>
  <si>
    <t>Sureshbhai R Chavda</t>
  </si>
  <si>
    <t>SHREE GANGNATH
CONSTRUCTION</t>
  </si>
  <si>
    <t>RBD/TRF/e-file/16/2025/4868/Section D1</t>
  </si>
  <si>
    <t>RBD/TRF/e-file/16/2025/4870/Section D1</t>
  </si>
  <si>
    <t>F/107, Eva Surabhi Complex, Opp. Aksharvadi Temple, Waghavadi Road, Bhavnagar - 364001</t>
  </si>
  <si>
    <t>Amardipsinh M. Gohil</t>
  </si>
  <si>
    <t>11, Brahman Sheri, At. Jesar, Dist. Bhavnagar</t>
  </si>
  <si>
    <t>Plot No. 9, Gayatri Society, Ramabaug, Anantwadi, Bhavnagar - 364002</t>
  </si>
  <si>
    <t>33, Virbhadra Shopping Center, Nr. Nilambaug Circle, Bhavnagar - 364002</t>
  </si>
  <si>
    <t>Chhelana Vipul Hadabhai</t>
  </si>
  <si>
    <t>At Survey No. 4 P, Shiv Hotel, Rohisha Chowkadi, Mahuva, Dist. Bhavnagar</t>
  </si>
  <si>
    <t>C. K. Vaniya</t>
  </si>
  <si>
    <t>Dhuliya Pir Vali Sheri, At Sedarda, Ta. Mahuva, Dist. Bhavnagar - 364280</t>
  </si>
  <si>
    <t>Construction of Gram Panchayat office (Frame structure) at Village Nana Charodiya Taluka: Gariyadhar Dist. Bhavnagar</t>
  </si>
  <si>
    <t>G 402, Abhilasha Sky, Gopal Chowk, Nikol, Ahmedabad - 382350</t>
  </si>
  <si>
    <t xml:space="preserve">Plot No. 13/C, Sheri No. 9, Gurunagar, Behind Chitra Petrol, Bhavnagar 364003 </t>
  </si>
  <si>
    <t>Opp. Nagar Palika Shoping Center, Swami Vivekanand Park, Devli Road, Kodinar, Dist. Gir Somnath - 362720</t>
  </si>
  <si>
    <t>753700MP00002883</t>
  </si>
  <si>
    <t>753700MP00002874</t>
  </si>
  <si>
    <t>Construction of Taluka panchayat office Building At : Mahuva, Dist : Bhavnagar</t>
  </si>
  <si>
    <t xml:space="preserve">Construction of Minor Bridge on Tared to Belampar Road (ODR) At. Km.0/200 Ta.Mahuva , Dist.; Bhavnagar. (Under MMGSY-Normal-2025-26) </t>
  </si>
  <si>
    <t>Construction of Mota Khokhara to Bambhaniya Road (NP) Km.0/000 to 3/750 Ta.Ghogha, Dist.; Bhavnagar</t>
  </si>
  <si>
    <t>Construction of Bhankhal Road to Pithalpur Road (NP) Km.0/000 to 0/950 Ta.Ghogha , Dist.; Bhavnagar</t>
  </si>
  <si>
    <t>Resurfacing of Bila to Ugalvan Road (VR) Km.0/000 to 3/500 Ta.Jesar , Dist.; Bhavnagar</t>
  </si>
  <si>
    <t>Resurfacing of Jesar Depla Ranigam Road (MDR) Km.0/000 to 9/750 Ta.Jesar, Dist.; Bhavnagar.</t>
  </si>
  <si>
    <t>Improvement of Rupavati- Saringpur- Damrala- Paldi -Samdhiyala Road (MDR) Km.0/000-5/450 Ta.Gariyadhar, Dist.; Bhavnagar</t>
  </si>
  <si>
    <t xml:space="preserve">Improvement of Luvarvav to Bhundarakha Road (VR) Km.0/000-3/300 Ta.Palitana, Dist.; Bhavnagar. </t>
  </si>
  <si>
    <t>Construction of Box Culvert on Mahuva Katpar Bhavani Road (MR) Ta.Mahuva , Dist.; Bhavnagar.</t>
  </si>
  <si>
    <t>Construction of School Building at Kalivav Primary School (One Class room) &amp; Koliyak Kanya P.S ( Four Class room) Ta: and Dist.Bhavnagar</t>
  </si>
  <si>
    <t>Construction of Nandghar (Anganvadi) Building at Village Mota Malpara Tal. Mahuva Dist. Bhavnagar</t>
  </si>
  <si>
    <t>Improvement of Ambla to Piparala Road (NP) Km.0 /000-3/250 Ta.Shihor, Dist.; Bhavnagar.</t>
  </si>
  <si>
    <t xml:space="preserve"> Construction of Gram Panchayat office (Frame structure) at Village Navagam (Mo) Taluka: Shihor Dist. Bhavnagar</t>
  </si>
  <si>
    <t>Ashapura Garden Restaurant, Near Garibsha pir, Rajkot Road, Sihor, Dist. Bhavnagar</t>
  </si>
  <si>
    <t>C-165, Pramukh Chhaya Raw House Society, Puma Simada Road, Puna Gam, Surat</t>
  </si>
  <si>
    <t>RPC-2/Tender/Bhavbagar/259</t>
  </si>
  <si>
    <t>L 15, AKSHARDEEP COMPLEX, SHASTRINAGAR, BHAVNAGAR-364001</t>
  </si>
  <si>
    <t>Bank of India</t>
  </si>
  <si>
    <t>320556110000302</t>
  </si>
  <si>
    <t>320556110000298</t>
  </si>
  <si>
    <t>320556110000297</t>
  </si>
  <si>
    <t>320556110000301</t>
  </si>
  <si>
    <t>320556110000303</t>
  </si>
  <si>
    <t>320556110000295</t>
  </si>
  <si>
    <t>320556110000304</t>
  </si>
  <si>
    <t>320556110000299</t>
  </si>
  <si>
    <t>320556110000300</t>
  </si>
  <si>
    <t>The Mehsana Urban Co-Op. Bank Ltd. Mehsana</t>
  </si>
  <si>
    <t>43201100017171</t>
  </si>
  <si>
    <t>320556110000296</t>
  </si>
  <si>
    <t>Gujarat Gramin Bank</t>
  </si>
  <si>
    <t>22670300000003</t>
  </si>
  <si>
    <t>22670300000001</t>
  </si>
  <si>
    <t>22670300000002</t>
  </si>
  <si>
    <t>22670300000005</t>
  </si>
  <si>
    <t>22670300000004</t>
  </si>
  <si>
    <t>C 1014, Opp. SBI Bank, Kaliyabid, Bhavnagar</t>
  </si>
  <si>
    <t>58490GI3D4045925</t>
  </si>
  <si>
    <t>50301222159542</t>
  </si>
  <si>
    <t>Rejected</t>
  </si>
  <si>
    <t>101GT02252630005</t>
  </si>
  <si>
    <t>22670300000032</t>
  </si>
  <si>
    <t>91640300004729</t>
  </si>
  <si>
    <t>32423030002307</t>
  </si>
  <si>
    <t>32423030002308</t>
  </si>
  <si>
    <t>309, 3rd Floor, Asopalav Triangle, 40-50 Feet Road Corner, (Punitnagar) Near Khodal Chok, Opp. Satyam Hills, Mavdi- Rajkot - 364004</t>
  </si>
  <si>
    <t>RBD/TRF/e-file/16/2025/6192/Section D1</t>
  </si>
  <si>
    <t>RPC-2/Tender/Bhavbagar/311</t>
  </si>
  <si>
    <t>RBD/TRF/e-file/16/2025/6191/Section D1</t>
  </si>
  <si>
    <t>RBD/TRF/e-file/16/2025/6189/Section D1</t>
  </si>
  <si>
    <t>RBD/TRF/e-file/16/2025/6190/Section D1</t>
  </si>
  <si>
    <t>RBD/TRF/e-file/16/2025/6197/Section D1</t>
  </si>
  <si>
    <t>Shop No. 40/41, Madhav Complex, Shastrinagar, Bhavnagar</t>
  </si>
  <si>
    <t>RBD/TRF/e-file/16/2025/6193/Section D1</t>
  </si>
  <si>
    <t>RPC-2/Tender/Bhavbagar/312</t>
  </si>
  <si>
    <t>Pending LoA</t>
  </si>
  <si>
    <t>Pending Approval</t>
  </si>
  <si>
    <t>50301241287737</t>
  </si>
  <si>
    <t>50301241288868</t>
  </si>
  <si>
    <t>RBD/TRF/e-file/16/2025/5428/Section D1</t>
  </si>
  <si>
    <t>5030044769452</t>
  </si>
  <si>
    <t>5030044769453</t>
  </si>
  <si>
    <t>5030044769454</t>
  </si>
  <si>
    <t>5030044769455</t>
  </si>
  <si>
    <t>Annual Rate for various Item of Material Supply and Labour for Road and Building Works</t>
  </si>
  <si>
    <t>320456110006930</t>
  </si>
  <si>
    <t>320456110006931</t>
  </si>
  <si>
    <t>320456110006932</t>
  </si>
  <si>
    <t>Annual Rate for Providing Asphalt Patch, Metal Patch, Paver Patta, BM, Carpet, Seal Coat, Asphalt Painting work in various Roads of Bhavnagar and Ghogha Taluka</t>
  </si>
  <si>
    <t>Annual Rate for Providing Asphalt Patch, Metal Patch, Paver Patta, BM, Carpet, Seal Coat, Asphalt Painting work in various Roads of Talaja Taluka</t>
  </si>
  <si>
    <t>Annual Rate for Providing Asphalt Patch, Metal Patch, Paver Patta, BM, Carpet, Seal Coat, Asphalt Painting work in various Roads of Mahuva and Jesar Taluka</t>
  </si>
  <si>
    <t>Annual Rate for Providing Asphalt Patch, Metal Patch, Paver Patta, BM, Carpet, Seal Coat, Asphalt Painting work in various Roads of Palitana and Gariyadhar Taluka</t>
  </si>
  <si>
    <t>Annual Rate for Providing Asphalt Patch, Metal Patch, Paver Patta, BM, Carpet, Seal Coat, Asphalt Painting work in various Roads of Shihor Taluka</t>
  </si>
  <si>
    <t>Annual Rate for Providing Asphalt Patch, Metal Patch, Paver Patta, BM, Carpet, Seal Coat, Asphalt Painting work in various Roads of Vallabhipur and Umrala Taluka</t>
  </si>
  <si>
    <t>PLOT NO. 1 A-16, Shere Panjab Pachhal, Santkrupa valo khancho, chitra GIDC, BHAVNAGAR-364004</t>
  </si>
  <si>
    <t>J.K.Construction</t>
  </si>
  <si>
    <t>At Po. Lilivav, Ta. Talaja, Dist. Bhavnagar</t>
  </si>
  <si>
    <t>Upendrakumar J. Joshi</t>
  </si>
  <si>
    <t>RPC-2/Tender/Bhavbagar/375</t>
  </si>
  <si>
    <t xml:space="preserve">Repairing of Anganvadi Building at Various Taluka in Bhavnagar District </t>
  </si>
  <si>
    <t>Construction of Bhatikada to Kadi Vistaar Road (VR NP) Km 0/000 to 3/500, Ta. Mahuva, Dist. Bhavnagar</t>
  </si>
  <si>
    <t>Remaining work Construction of Gram Panchayat office building (Frame structure) of Gariyadhar taluka (BVN/CDP/Gariyadhar/2017-18/P-18) Dist. Bhavnagar (At village - Shivendranagar, Motivavdi, Rupavati)</t>
  </si>
  <si>
    <t>Construction of Nandghar (Anganvadi) Building at Village Undavi-1 Tal. Bhavnagar Dist. Bhavnagar</t>
  </si>
  <si>
    <t>MATI CONSTRUCTION AND
ENGINEERING</t>
  </si>
  <si>
    <t>Shree Khodiyar Construction</t>
  </si>
  <si>
    <t>Pramukh Services</t>
  </si>
  <si>
    <t>JAYDIPBHAI J MAKWANA</t>
  </si>
  <si>
    <t>RUTURAJSINH ARJUNSINH SARVAIYA</t>
  </si>
  <si>
    <t xml:space="preserve">Construction of various Major Bridge under MMGSY Yojana (Normal) Year 2025-26, Package No. RPC-2/BVN/Structure/2025-26/P.03, Ta. Bhavnagar </t>
  </si>
  <si>
    <t>6376225BG0Y00072</t>
  </si>
  <si>
    <t>6376225BG0Y00073</t>
  </si>
  <si>
    <t>6376225BG0Y00071</t>
  </si>
  <si>
    <t>348803030568318</t>
  </si>
  <si>
    <t>Construction of Nandghar (Anganvadi) Building at Village Mota Khuntvada-2 Tal. Mahuva Dist. Bhavnagar</t>
  </si>
  <si>
    <t>Construction of Major Bridge on Beda Virpur Road Ta. Jesar., Dist.; Bhavnagar. (Under MMGSY-Normal-2024-25)</t>
  </si>
  <si>
    <t>Construction of Box Culvert on the way to Dalit Crematorium at Ranghola Village of Umrala (Km.0/150) Ta.Umrala, Dist.; Bhavnagar. (Under Finance Commission)</t>
  </si>
  <si>
    <t>Construction of Community hall near Murlidhar temple area at pachhegam Taluka:- Vallabhipur Dist. Bhavnagar</t>
  </si>
  <si>
    <t>Construction of Community Hall at Scheduled Cast Area Malekvadar Village Tal.Ghogha Dist. Bhavnagar</t>
  </si>
  <si>
    <t>Construction of Community Hall near House of Babubhai Ravjibhai Makvana at Dalitvas Hadmatiya Village Tal. Umrala Dist. Bhavnagar</t>
  </si>
  <si>
    <t>Construction of Community Hall at Rabarika Village Ta.Jesar Dist.Bhavnagar</t>
  </si>
  <si>
    <t>Construction of Sulabh Sauchalay at Village Uncha Kotda, Ta:Mahuva, Dist:Bhavnagar</t>
  </si>
  <si>
    <t>Construction of Sulabh Sauchalay at Village Dadava (r) Taluka; Umrala, Dist:Bhavnagar</t>
  </si>
  <si>
    <t>Construction of Library Hall in Primary School at Village Malpar Tal.Ghogha Dist. Bhavnagar</t>
  </si>
  <si>
    <t>Construction of Computer Lab at Ukharla and Tansa, Ta:Ghogha, Dist:Bhavnagar</t>
  </si>
  <si>
    <t>Hamirbhai Govindbhai Chavda</t>
  </si>
  <si>
    <t>At. Lakhavad, Tal. Umrala, Dist. Bhavnagar</t>
  </si>
  <si>
    <t>At. Shelavadar, Tal. Talaja, Dist. Bhavnagar - 364140</t>
  </si>
  <si>
    <t>Alpeshkumar Ranabhai Kalotara</t>
  </si>
  <si>
    <t>At. Chhapariyali, Bagdana Road, Tal. Jesar, Dist. Bhavnagar - 364510</t>
  </si>
  <si>
    <t>Plot No. 39/B, Jawahar Colony, Bordigate, Bhavnagar - 364005</t>
  </si>
  <si>
    <t>B-4852, Punam Pooja Society, Kaliyabid, Bhavnagar - 364002</t>
  </si>
  <si>
    <t>Rupavati Road, Gariyadhar, Dist. Bhavnagar - 364505</t>
  </si>
  <si>
    <t>22670300000033</t>
  </si>
  <si>
    <t>#N/A</t>
  </si>
  <si>
    <t>183223060000042</t>
  </si>
  <si>
    <t>183223060000043</t>
  </si>
  <si>
    <t>RC</t>
  </si>
  <si>
    <t>25200300031785</t>
  </si>
  <si>
    <t>25200300031781</t>
  </si>
  <si>
    <t>25200300031782</t>
  </si>
  <si>
    <t>25200300031784</t>
  </si>
  <si>
    <t>25200300031783</t>
  </si>
  <si>
    <t>25200300031787</t>
  </si>
  <si>
    <t>25200300031786</t>
  </si>
  <si>
    <t>2895400010841</t>
  </si>
  <si>
    <t>2895400010840</t>
  </si>
  <si>
    <t>58490GI8D4925325</t>
  </si>
  <si>
    <t>22670300000111</t>
  </si>
  <si>
    <t>22670300000122</t>
  </si>
  <si>
    <t>049010PU00012954</t>
  </si>
  <si>
    <t>0348IGP003446925</t>
  </si>
  <si>
    <t>0348IGP003461325</t>
  </si>
  <si>
    <t>0348IGP003461925</t>
  </si>
  <si>
    <t>Construction of Taluka panchayat office Building At : Shihor, Dist : Bhavnagar</t>
  </si>
  <si>
    <t>Kalapi Enterprise</t>
  </si>
  <si>
    <t>RBD/TRF/e-file/16/2025/7646/Section D1</t>
  </si>
  <si>
    <t>Construction of Taluka panchayat office Building At : Palitana, Dist : Bhavnagar</t>
  </si>
  <si>
    <t>RBD/TRF/e-file/16/2025/7641/Section D1</t>
  </si>
  <si>
    <t>320, Sky Zone near Shyamdham Temple, Varachha Road, Surat - 395006</t>
  </si>
  <si>
    <t>573513000312</t>
  </si>
  <si>
    <t>44742613971</t>
  </si>
  <si>
    <t>214, Hill Town Square, Near Ganesh Opera, Nikol, Ahmedabad - 382350</t>
  </si>
  <si>
    <t>0348IGP004517425</t>
  </si>
  <si>
    <t>44743821152</t>
  </si>
  <si>
    <t>348803020703951</t>
  </si>
  <si>
    <t>348803020703950</t>
  </si>
  <si>
    <t>22670300000146</t>
  </si>
  <si>
    <t>SADVICHAR INFRA PROJECTS LLP</t>
  </si>
  <si>
    <t>DEVKI CONSTRUCTION</t>
  </si>
  <si>
    <t>JAY ENTERPRISE</t>
  </si>
  <si>
    <t>parishramconstruction</t>
  </si>
  <si>
    <t>SARVAIYA BROTHERS CONSTRUCTION
COMPANY</t>
  </si>
  <si>
    <t>MUKHI CONSTRUCTION</t>
  </si>
  <si>
    <t>Siddhi Vinayak Construction</t>
  </si>
  <si>
    <t>A V CONSTRUCTION</t>
  </si>
  <si>
    <t>MILAN INFRA PROJECT</t>
  </si>
  <si>
    <t>Bambhaniya V L</t>
  </si>
  <si>
    <t>DHRUVITKUMAR R KAKADIYA</t>
  </si>
  <si>
    <t>CHIRAG HIMMATBHAI ITALIYA</t>
  </si>
  <si>
    <t xml:space="preserve"> Construction of Gram Panchayat Office (Frame Structure) at Village Aamala, Ta. Talaja, Dist. Bhavnagar</t>
  </si>
  <si>
    <t>Construction of Gram Panchayat Office (Frame Structure) at Village Pavathi, Ta.Talaja, Dist. Bhavnagar (For Population 5000 to 10000)</t>
  </si>
  <si>
    <t>Construction of Gram Panchayat Office (Frame Structure) at Village Piparla, Ta. Talaja, Dist. Bhavnagar</t>
  </si>
  <si>
    <t>Construction of Gram Panchayat Office (Frame Structure) at Village Rajpara-2, Ta.Talaja, Dist. Bhavnagar (For Population 5000 to 10000)</t>
  </si>
  <si>
    <t>Construction of Gram Panchayat Office (Frame Structure) at Village Ralgon, Ta. Talaja, Dist. Bhavnagar</t>
  </si>
  <si>
    <t>Construction of Gram Panchayat office (Frame structure) at Village Padargadh, Ta. Talaja Dist. Bhavnagar</t>
  </si>
  <si>
    <t>Construction of Gram Panchayat office (Frame structure) at Village Dharadi, Tal. Talaja Dist. Bhavnagar</t>
  </si>
  <si>
    <t>Construction of Gram Panchayat office (Frame structure) at Village Shobhavad, Tal. Talaja Dist. Bhavnagar</t>
  </si>
  <si>
    <t>Construction of Gram Panchayat office (Frame structure) at Village Vataliya, Tal. Talaja Dist. Bhavnagar</t>
  </si>
  <si>
    <t>Construction of Gram Panchayat office (Frame structure) at Village Datha, Tal. Talaja Dist. Bhavnagar (For population Upto 5000 to 10000)</t>
  </si>
  <si>
    <t>Construction of Gram Panchayat office (Frame structure) at Village Alang, Tal. Talaja Dist. Bhavnagar (For population Upto 5000 to 10000)</t>
  </si>
  <si>
    <t>Construction of Gram Panchayat office (Frame structure) at Village Bharpara, Tal. Talaja Dist. Bhavnagar</t>
  </si>
  <si>
    <t>Construction of Gram Panchayat office (Frame structure) at Village Mathavada, Tal. Talaja Dist. Bhavnagar</t>
  </si>
  <si>
    <t>Construction of Gram Panchayat office (Frame structure) at Village Moti Babariyat, Tal. Talaja Dist. Bhavnagar</t>
  </si>
  <si>
    <t>Construction of Gram Panchayat office (Frame structure) at Village Royal, Tal. Talaja Dist. Bhavnagar</t>
  </si>
  <si>
    <t>Construction of Gram Panchayat office (Frame structure) at Village Sosiya, Tal. Talaja Dist. Bhavnagar</t>
  </si>
  <si>
    <t>Construction of Gram Panchayat office (Frame structure) at Village Kundheli, Tal. Talaja Dist. Bhavnagar</t>
  </si>
  <si>
    <t>Construction of Gram Panchayat office (Frame structure) at Village Shankhdasar-2, Tal. Talaja Dist. Bhavnagar</t>
  </si>
  <si>
    <t xml:space="preserve"> Construction of Gram Panchayat office (Frame structure) at Village Moti Mandavali, Tal. Talaja Dist. Bhavnagar</t>
  </si>
  <si>
    <t>Construction of Gram Panchayat office (Frame structure) at Village Reliya, Tal. Talaja Dist. Bhavnagar</t>
  </si>
  <si>
    <t>Construction of Gram Panchayat office (Frame structure) at Village Talli, Tal. Talaja Dist. Bhavnagar</t>
  </si>
  <si>
    <t>Construction of Gram Panchayat Office (Frame Structure) at Village Sanodar, Ta. Ghogha, Dist. Bhavnagar</t>
  </si>
  <si>
    <t>Construction of Gram Panchayat Office (Frame Structure) at Village Tansa, Ta. Ghogha, Dist. Bhavnagar</t>
  </si>
  <si>
    <t>Construction of Gram Panchayat office (Frame structure) at Village Ghogha Piram Juth, Ta. Ghogha Dist. Bhavnagar (For population Upto 5000 to 10000)</t>
  </si>
  <si>
    <t>Construction of Gram Panchayat office (Frame structure) at Village Vavadi, Ta. Ghogha Dist. Bhavnagar</t>
  </si>
  <si>
    <t>Construction of Gram Panchayat office (Frame structure) at Village Morchand, Ta. Ghogha Dist. Bhavnagar</t>
  </si>
  <si>
    <t>Construction of Gram Panchayat office (Frame structure) at Village Navagam (Nana) Ta. Ghogha Dist. Bhavnagar</t>
  </si>
  <si>
    <t>Construction of Gram Panchayat Office (Frame Structure) at Village Khatsura, Ta. Mahuva, Dist. Bhavnagar</t>
  </si>
  <si>
    <t>Construction of Gram Panchayat Office (Frame Structure) at Village Katpar, Ta. Mahuva, Dist. Bhavnagar (For Population 5000 to 10000)</t>
  </si>
  <si>
    <t>Construction of Gram Panchayat Office (Frame Structure) at Village Monpur, Ta. Mahuva, Dist. Bhavnagar</t>
  </si>
  <si>
    <t>Construction of Gram Panchayat Office (Frame Structure) at Village Karamadiya, Ta. Mahuva, Dist. Bhavnagar</t>
  </si>
  <si>
    <t>Construction of Gram Panchayat Office (Frame Structure) at Village Dayal, Ta. Mahuva, Dist. Bhavnagar (For Population 5000 to 10000)</t>
  </si>
  <si>
    <t>Construction of Gram Panchayat Office (Frame Structure) at Village Nana Khuntvada, Ta. Mahuva, Dist. Bhavnagar</t>
  </si>
  <si>
    <t>Construction of Gram Panchayat Office (Frame Structure) at Village Mota Jadara, Ta. Mahuva, Dist. Bhavnagar</t>
  </si>
  <si>
    <t>Construction of Gram Panchayat office (Frame structure) at Village Gundarni, Ta. Mahuva Dist. Bhavnagar</t>
  </si>
  <si>
    <t>Construction of Gram Panchayat office (Frame structure) at Village Goras, Ta. Mahuva Dist. Bhavnagar</t>
  </si>
  <si>
    <t>Construction of Gram Panchayat office (Frame structure) at Village Kalsar, Ta. Mahuva Dist. Bhavnagar (For population Upto 5000 to 10000)</t>
  </si>
  <si>
    <t>Construction of Gram Panchayat office (Frame structure) at Village Moda, Ta. Mahuva Dist. Bhavnagar</t>
  </si>
  <si>
    <t>Construction of Gram Panchayat office (Frame structure) at Village Rajavadar, Ta. Mahuva Dist. Bhavnagar</t>
  </si>
  <si>
    <t>Construction of Gram Panchayat office (Frame structure) at Village Vangar, Ta. Mahuva Dist. Bhavnagar</t>
  </si>
  <si>
    <t>Construction of Gram Panchayat office (Frame structure) at Village Dudhala-2, Ta. Mahuva Dist. Bhavnagar</t>
  </si>
  <si>
    <t>Construction of Gram Panchayat Office (Frame Structure) at Village Jesar, Ta. Jesar, Dist. Bhavnagar (For Population More than 10000)</t>
  </si>
  <si>
    <t>Construction of Gram Panchayat Office (Frame Structure) at Village Ugalvan, Ta. Jesar, Dist. Bhavnagar</t>
  </si>
  <si>
    <t>Construction of Gram Panchayat Office (Frame Structure) at Village Juni Kantrodi, Ta. Jesar, Dist. Bhavnagar</t>
  </si>
  <si>
    <t>Construction of Gram Panchayat Office (Frame Structure) at Village Moti Paniyali, Ta. Palitana, Dist. Bhavnagar</t>
  </si>
  <si>
    <t>Construction of Gram Panchayat Office (Frame Structure) at Village Thadach, Ta. Palitana, Dist. Bhavnagar</t>
  </si>
  <si>
    <t>Construction of Gram Panchayat office (Frame structure) at Village Vadiya, Ta. Palitana Dist. Bhavnagar</t>
  </si>
  <si>
    <t>Construction of Gram Panchayat office (Frame structure) at Village Nonghanvadar, Ta. Palitana Dist. Bhavnagar</t>
  </si>
  <si>
    <t>Construction of Gram Panchayat Office (Frame Structure) at Village Velavadar, Ta. Gariyadhar, Dist. Bhavnagar</t>
  </si>
  <si>
    <t>Construction of Gram Panchayat Office (Frame Structure) at Village Umrala, Ta. Umrala, Dist. Bhavnagar (For Population 5000 to 10000)</t>
  </si>
  <si>
    <t>Construction of Gram Panchayat office (Frame structure) at Village Dhola (Gam) Ta. Umrala Dist. Bhavnagar</t>
  </si>
  <si>
    <t>Construction of Gram Panchayat office (Frame structure) at Village Bhojavadar, Ta. Umrala Dist. Bhavnagar</t>
  </si>
  <si>
    <t>Construction of Gram Panchayat office (Frame structure) at Village Ratanpar, Ta. Umrala Dist. Bhavnagar</t>
  </si>
  <si>
    <t>Construction of Gram Panchayat office (Frame structure) at Village Surka, Ta. Bhavnagar Dist. Bhavnagar</t>
  </si>
  <si>
    <t>Construction of Gram Panchayat office (Frame structure) at Village Mithapar, Ta. Bhavnagar Dist. Bhavnagar</t>
  </si>
  <si>
    <t>Construction of Gram Panchayat office (Frame structure) at Village Shedhavadar, Ta. Bhavnagar Dist. Bhavnagar</t>
  </si>
  <si>
    <t>Construction of Gram Panchayat office (Frame structure) at Village Koliyak, Ta. Bhavnagar Dist. Bhavnagar</t>
  </si>
  <si>
    <t>Construction of Gram Panchayat office (Frame structure) at Village Alapar, Ta. Bhavnagar Dist. Bhavnagar</t>
  </si>
  <si>
    <t>Construction of Gram Panchayat office (Frame structure) at Village Thoradi , Ta. Bhavnagar Dist. Bhavnagar</t>
  </si>
  <si>
    <t>Construction of Gram Panchayat office (Frame structure) at Village Sarvedi, Ta. Shihor Dist. Bhavnagar</t>
  </si>
  <si>
    <t>Construction of Gram Panchayat office (Frame structure) at Village Panchtalavada, Ta. Shihor Dist. Bhavnagar</t>
  </si>
  <si>
    <t>Construction of Gram Panchayat office (Frame structure) at Village Nava Jaliya, Ta.shihor Dist. Bhavnagar</t>
  </si>
  <si>
    <t xml:space="preserve"> Shop No. 101, Chitrakut Complex, Near Gayatridham Society, Jamnagar Road, Rajkot</t>
  </si>
  <si>
    <t>Construction of Gram Panchayat Office (Frame Structure) at Village Nesvad, Ta. Mahuva, Dist. Bhavnagar (For Population More than 10000)</t>
  </si>
  <si>
    <t>Shop No. 04, Madhuvan Complex, Gopnath Road, Talaja, Dist. Bhavnagar</t>
  </si>
  <si>
    <t>At. Mitiyala, Main Road, Near Bus Station, Tal. Jafrabad, Dist. Amreli - 365540</t>
  </si>
  <si>
    <t>FF-14-B, Pramukh Darshan Complex, Hadanagar Na Nake, Bhavnagar</t>
  </si>
  <si>
    <t>Construction of Gram Panchayat Office (Frame Structure) at Village Nicha Kotada, Ta. Mahuva, Dist. Bhavnagar (For Population 5000 to 10000)</t>
  </si>
  <si>
    <t>At Mitiyala, Tal. Jafrabad, Dist. Amreli - 365540</t>
  </si>
  <si>
    <t>Shop No. 44, Madhav Complex, Shastrinagar, Bhavnagar</t>
  </si>
  <si>
    <t>At. Nana Rajkot, Tal. Lathi, Dist. Amreli</t>
  </si>
  <si>
    <t>At Maidhar, Tal. Palitana, Dist. Bhavnagar - 364260</t>
  </si>
  <si>
    <t>Shop No. 4, Utsav Flat, Near Jewels Circle, Bhavnagar</t>
  </si>
  <si>
    <t>Ramnagar, Budhel, Dist. Bhavnagar</t>
  </si>
  <si>
    <t>Swaminarayan Temple, Ward No. 1, 658/1, Bherai Road, Rajula, Distt. Amreli - 365560</t>
  </si>
  <si>
    <t>Construction of Gram Panchayat Office (Frame Structure) at Village Sartanpar, Ta. Talaja, Dist. Bhavnagar</t>
  </si>
  <si>
    <t>Construction of Gram Panchayat office (Frame structure) at Village Tarsara, Tal. Talaja Dist. Bhavnagar</t>
  </si>
  <si>
    <t>Construction of Gram Panchayat Office (Frame Structure) at Village Jaliya (Amraji), Ta. Palitana, Dist. Bhavnagar</t>
  </si>
  <si>
    <t>Construction of Roads of Bhavnagar District Package No.RPC-2/BVN/Normal/2024-25/P.01 Ta. Shihor , Dist.; Bhavnagar</t>
  </si>
  <si>
    <t>101GT02253220002</t>
  </si>
  <si>
    <t>101GT02260080002</t>
  </si>
  <si>
    <t>Cancelled</t>
  </si>
  <si>
    <t>Remaining work Construction of Gram Panchayat office building (Frame structure) At Village Pansada Dist. Bhavnagar (Under CDP-2017-18)</t>
  </si>
  <si>
    <t xml:space="preserve">201/02, Leela Beside Iscon Mega City, Jewels Road, Opp. Victoria Park, Bhavnagar- 364001                           </t>
  </si>
  <si>
    <t>RBD/TRF/e-file/16/2025/6195/Section D1</t>
  </si>
  <si>
    <t>SHREEJI DEVCON (INDIA) PVT. LTD.</t>
  </si>
  <si>
    <t xml:space="preserve">F-22, Neptune Tower, Opp.                                                        Jalaram Petrol Pump, Kalawad                                  Road, Rajkot - 360005
</t>
  </si>
  <si>
    <t>RBD/TRF/e-file/16/2025/6875/Section D1</t>
  </si>
  <si>
    <t>29/11/225</t>
  </si>
  <si>
    <t>Widening &amp; Strengthening of Sathara to Unchakotda Road (MDR) Km.0/00-17/900 Ta. Mahuva Dist. Bhavnagar (Under MMGSY Yojna (Normal) Year 2024-25)</t>
  </si>
  <si>
    <t>HDFC BANK</t>
  </si>
  <si>
    <t>50301269732200</t>
  </si>
  <si>
    <t>50301269734080</t>
  </si>
  <si>
    <t>0348IGP004695225</t>
  </si>
  <si>
    <t>0348IGP004693025</t>
  </si>
  <si>
    <t>Everest Buildcare Private Limited</t>
  </si>
  <si>
    <t>404, Amazing Star, Opp. Vishvamitri Society, Mahavir Chowk, Chikuwadi, Varachha Road, Surat-395006</t>
  </si>
  <si>
    <t>067GT02253500009</t>
  </si>
  <si>
    <t>067GT02253500010</t>
  </si>
  <si>
    <t>22670300000167</t>
  </si>
  <si>
    <t>22670300000168</t>
  </si>
  <si>
    <t>22670300000171</t>
  </si>
  <si>
    <t>22670300000172</t>
  </si>
  <si>
    <t>22670300000169</t>
  </si>
  <si>
    <t>22670300000166</t>
  </si>
  <si>
    <t>44676070565</t>
  </si>
  <si>
    <t>44676070567</t>
  </si>
  <si>
    <t>44676070566</t>
  </si>
  <si>
    <t>44776218565</t>
  </si>
  <si>
    <t>44776138665</t>
  </si>
  <si>
    <t>321256110001355</t>
  </si>
  <si>
    <t>37970300004829</t>
  </si>
  <si>
    <t>37970300004841</t>
  </si>
  <si>
    <t>37970300004830</t>
  </si>
  <si>
    <t>37970300004842</t>
  </si>
  <si>
    <t>22670300000173</t>
  </si>
  <si>
    <t>22670300000170</t>
  </si>
  <si>
    <t>50301276789369</t>
  </si>
  <si>
    <t>50301276714471</t>
  </si>
  <si>
    <t>Construction of Bhatikada to Kadi Vistar Road Km. 0/000 to 3/500, Ta. Mahuva Dist. Bhavnagar</t>
  </si>
  <si>
    <t>Construction of Primary Clinic Animal Husbandary Taluka Mahuva, Dist. Bhavnagar</t>
  </si>
  <si>
    <t>Construction of Primary Clinic Animal Husbandary Taluka Vallabhipur, Dist. Bhavnagar</t>
  </si>
  <si>
    <t>Construction of Primary Clinic Animal Husbandary at Sanosara, Ta. Shihor, Dist. Bhavnagar</t>
  </si>
  <si>
    <t>Cancelled due to above rate</t>
  </si>
  <si>
    <t>Construction of Virpur Shevadivadar Road Km. 0/000 to 2/500, Ta. Mahuva Dist. Bhavnagar</t>
  </si>
  <si>
    <t>Distrcit</t>
  </si>
  <si>
    <t>Conctruction Work of New Cross Drainage, Repairing Cross Drainage, Structure and Bridge Repair work and other Misc. work various roads as and when required or in emergency under bhavnagar district (Panchayat) (Annual Rate)</t>
  </si>
  <si>
    <t>AMAR CONSTRUCTION CO.</t>
  </si>
  <si>
    <t>GRVISH INFRASTRUCTURE</t>
  </si>
  <si>
    <t>SQUARE CONSTRUCTION</t>
  </si>
  <si>
    <t>Construction of Gram Panchayat Office (Frame Structure) at Village Sartanpar, Ta.Talaja, Dist. Bhavnagar (For Population More than 10000)</t>
  </si>
  <si>
    <t>BHAVIK CONSTRUCTION AND MATERIALS SUPPLIER</t>
  </si>
  <si>
    <t>Construction of Gram Panchayat office (Frame structure) at Village Padari, Tal. Talaja Dist. Bhavnagar</t>
  </si>
  <si>
    <t>RAMESH BHIMABHAI SURANI</t>
  </si>
  <si>
    <t>Construction of Gram Panchayat office (Frame structure) at Village Tarasra, Tal. Talaja Dist. Bhavnagar</t>
  </si>
  <si>
    <t>Construction of Gram Panchayat office (Frame structure) at Village Jaliya (Amraji) Ta. Palitana Dist. Bhavnagar</t>
  </si>
  <si>
    <t>KRUSHNADEVSINH S SARVAIYA</t>
  </si>
  <si>
    <t>Construction of Gram Panchayat office (Frame structure) at Village Zadakala Ta. Jesar Dist. Bhavnagar</t>
  </si>
  <si>
    <t>Construction of Community Hall near Chamunda Mata Temple at Village Navagam Ta. Ghogha Dist. Bhavnagar</t>
  </si>
  <si>
    <t>Construction of New Clinic Animal Husbandary at Juna Ratanpar, Ta. Vallabhipur, Dist. Bhavnagar</t>
  </si>
  <si>
    <t>411, Silver Stone Arcade, Near Kanthariya Hanuman Temple, Singanpor Causeway Road, Katargam, Surat - 395004</t>
  </si>
  <si>
    <t>RPC-2/Tender/Bhavnagar/429</t>
  </si>
  <si>
    <t>RPC-2/Tender/Bhavnagar/428</t>
  </si>
  <si>
    <t>Construction of Gram Panchayat office (Frame structure) at Village Hamirpara, Tal. Talaja Dist. Bhavnagar</t>
  </si>
  <si>
    <t>33/A, First Floor, Nutan Shopping Center, Jilla Panchayat Road, Amreli - 365601</t>
  </si>
  <si>
    <t>SR to Jaspara Khadarpar Paniyali Road (ODR) (Sec. I Km. 1/500-4/240) Km. 0/000-4/240 Ta. Talaja, Dist. Bhavnagar</t>
  </si>
  <si>
    <t>KCC SOSIYA PRIVATE LIMITED</t>
  </si>
  <si>
    <t>RPC-2/Tender/Bhavnagar/427</t>
  </si>
  <si>
    <t>Construction of Virpur Shevadivadar Road (NP) Km. 0/000 to 2/500, Ta. Mahuva Dist. Bhavnagar</t>
  </si>
  <si>
    <t>SHIVAM BUILDERS</t>
  </si>
  <si>
    <t>Vaniya Sheri, At. Village Trapaj, Ta. Talaja, Dist. Bhavnagar</t>
  </si>
  <si>
    <t>RPC-2/Tender/Bhavnagar/426</t>
  </si>
  <si>
    <t>305/306, Madhvav Hill, Vaghavadi Road, Bhavnagar</t>
  </si>
  <si>
    <t>MARUTI CONSTRUCTION</t>
  </si>
  <si>
    <t>Construction of Bhatikada to Kadi Vistaar Road (VR NP) Km.0/000 to 3/500 Ta. Mahuva, Dist. Bhavnagar</t>
  </si>
  <si>
    <t>Construction of New Clinic Animal Husbandary at Taluka Gariyadhar, Ta. Gariyadhar, Dist. Bhavnagar</t>
  </si>
  <si>
    <t>Construction of Primary Clinic Animal Husbandary Taluka Gariyadhar, Dist. Bhavnagar</t>
  </si>
  <si>
    <t>50301302023764</t>
  </si>
  <si>
    <t>50301302025184</t>
  </si>
  <si>
    <t>Construction of New Clinic Animal Husbandary at Taluka Mahuva, Ta: Mahuva, Dist: Bhavnagar</t>
  </si>
  <si>
    <t>ALLENTY ENGINEERING AND SERVICES PRIVATE LIMITED</t>
  </si>
  <si>
    <t>Plot No. 1/2-A/2, Shivsagar Society, Opposite Shivdhara Farm, Tarsamiya Road, Bhavnagar- 364002</t>
  </si>
  <si>
    <t>NA</t>
  </si>
  <si>
    <t>Construction of Gram Panchayat Office (Frame Structure) at Village Bhandariya, Ta. Gariyadhar, Dist. Bhavnagar</t>
  </si>
  <si>
    <t>376600PV00031528</t>
  </si>
  <si>
    <t>376600PV00031519</t>
  </si>
  <si>
    <t>ICICI Bank Limited</t>
  </si>
  <si>
    <t>242213004992</t>
  </si>
  <si>
    <t>242213004991</t>
  </si>
  <si>
    <t>RPC-2/Tender/Bhavnagar/473</t>
  </si>
  <si>
    <t>RPC-2/Tender/Bhavnagar/461</t>
  </si>
  <si>
    <t>0272NDLG00014026</t>
  </si>
  <si>
    <t>0272NDLG00014226</t>
  </si>
  <si>
    <t>22670300000273</t>
  </si>
  <si>
    <t>22670300000275</t>
  </si>
  <si>
    <t>22670300000272</t>
  </si>
  <si>
    <t>22670300000271</t>
  </si>
  <si>
    <t>KRUSHNAM ENTERPRISE</t>
  </si>
  <si>
    <t>DISHA TRADING AND CO</t>
  </si>
  <si>
    <t xml:space="preserve">UGAM CONSTRUCTION CO. </t>
  </si>
  <si>
    <t>Above Tender</t>
  </si>
  <si>
    <t>Dismentalling of Rest House Building at Palitana Ta. Palitana, Dist. Bhavanagar</t>
  </si>
  <si>
    <t>Creating a Bala School (Building as learning aid) Primary School at village Shevadivadar, Tal. Jesar, Dist. Bhavnagar</t>
  </si>
  <si>
    <t>Creating a Bala School (Building as learning aid) Primary School at village Nesvad, Tal. Mahuva, Dist. Bhavnagar</t>
  </si>
  <si>
    <t>Construction of Community Hall at Scheduled Cast Area Panchtobara village, Tal. Gariyadhar, Dist. Bhavnagar</t>
  </si>
  <si>
    <t>Construction of Ambedakar Hall at Scheduled Cast Area village Gujarada (Akhtariya), Tal. Gariyadhar, Dist. Bhavnagar</t>
  </si>
  <si>
    <t>Construction of Community Hall at Scheduled Cast Area Timba village, Tal. Gariyadhar, Dist. Bhavnagar</t>
  </si>
  <si>
    <t>Construction of Shed at Khedut Bazar of Ambla Village, Tal. Shihor, Dist. Bhavnagar</t>
  </si>
  <si>
    <t>Construction of Compound Wall, Shed and Toilet Block at old Primary School of village Amargadh, Tal. Shihor, Dist. Bhavnagar</t>
  </si>
  <si>
    <t>Construction of Library at Meli Area Sartanpar village, Tal. Talaja, Dist. Bhavnagar</t>
  </si>
  <si>
    <t>44982200266</t>
  </si>
  <si>
    <t>44969243965</t>
  </si>
  <si>
    <t>44969336995</t>
  </si>
  <si>
    <t>44969165392</t>
  </si>
  <si>
    <t>44969163820</t>
  </si>
  <si>
    <t>44960083726</t>
  </si>
  <si>
    <t>44960276621</t>
  </si>
  <si>
    <t>44949824445</t>
  </si>
  <si>
    <t>44949879314</t>
  </si>
  <si>
    <t>2895400011380</t>
  </si>
  <si>
    <t>Kotak Mahindra Bank</t>
  </si>
  <si>
    <t>4052709188</t>
  </si>
  <si>
    <t>40529871666</t>
  </si>
  <si>
    <t>50301272552137</t>
  </si>
  <si>
    <t>50301273083620</t>
  </si>
  <si>
    <t>44936594389</t>
  </si>
  <si>
    <t>44916553834</t>
  </si>
  <si>
    <t>58490GI8D4926525</t>
  </si>
  <si>
    <t>Construction of Community Hall at Scheduled Cast Area Trapaj Village Tal.Talaja Dist. Bhavnagar</t>
  </si>
  <si>
    <t>Construction of Community Hall at Scheduled Cast Area Muldharai Village Tal.Vallabhipur Dist. Bhavnagar</t>
  </si>
  <si>
    <t>Construction of Community Hall at Scheduled Cast Area Zanzamer Village Tal.Umrala Dist. Bhavnagar</t>
  </si>
  <si>
    <t>Construction of Community Hall at Scheduled Cast Area Reva Village Tal.Umrala Dist. Bhavnagar</t>
  </si>
  <si>
    <t>Construction of Community Hall at Scheduled Cast Area Khodvadari Village Tal.Gariyadhar Dist. Bhavnagar</t>
  </si>
  <si>
    <t>Construction of Library Hall at Village Chogath Tal. Umrala Dist. :-Bhavnagar</t>
  </si>
  <si>
    <t>Construction of Nandghar Anganvadi Building at Kukad Tal. Ghogha Dist. Bhavnagar</t>
  </si>
  <si>
    <t>Construction of Ambedakar Bhavan at Village Manguka Tal. Gariyadhar Dist. :- Bhavnagar</t>
  </si>
  <si>
    <t>Construction of Ambedakar Bhavan at Village Nana Khokhara Tal. Ghogha Dist. :- Bhavnagar</t>
  </si>
  <si>
    <t>Creating A BaLa School (Building as lerining aid) Primary school at Village Gorkhi Tal. Talaja Dist. Bhavnagar</t>
  </si>
  <si>
    <t>Construction of Sulabh Sauchalay at Village Zanzmer, Ta:Talaja, Dist:Bhavnagar</t>
  </si>
  <si>
    <t>Construction of Community Hall at Village Vadod Ta:Umrala Dist:Bhavnagar</t>
  </si>
  <si>
    <t>Construction of Community Hall at Village Bajud, Ta: Umrala, Dist: Bhavnagar</t>
  </si>
  <si>
    <t>Construction of Community Hall at Khodiyar Mandir Area Village Aayavej Tal.Jesar Dist. Bhavnagar</t>
  </si>
  <si>
    <t xml:space="preserve">Construction of Library at village Tana, Ta. Shihor </t>
  </si>
  <si>
    <t>Various</t>
  </si>
  <si>
    <t>SHASHVAT INFRASTRUCTURE</t>
  </si>
  <si>
    <t>JIYA ENTERPRISE</t>
  </si>
  <si>
    <t>TUSHAR MAHESHBHAI RATHOD</t>
  </si>
  <si>
    <t xml:space="preserve">Gondra Vistar, At- Mannar, Ta. Talaja, Dist. Bhavnagar </t>
  </si>
  <si>
    <t>Plot No. 13/1, Parmeshwar Park, Near Top 3 Circle, Bhavnagar</t>
  </si>
  <si>
    <t>At Village Dedarada, Ta. Palitana, Dist. Bhavnagar</t>
  </si>
  <si>
    <t>1st Floor, Dharmshala Shop, Valam Chowk, Gariyadhar, Dist. Bhavnagar</t>
  </si>
  <si>
    <t>RBD/TRF/e-file/16/2025/7186/Section D1</t>
  </si>
  <si>
    <t>various</t>
  </si>
  <si>
    <t>44676070764</t>
  </si>
  <si>
    <t>44676070777</t>
  </si>
  <si>
    <t>44676070778</t>
  </si>
  <si>
    <t>At Lathi, Dist. Amreli - 365430</t>
  </si>
  <si>
    <t xml:space="preserve">Shop No. 2/3, Plot No. 76, Revenue Sr No. 247, Nr. Ashok Bavadiya Sir, Vishwas Nagar, V.T. Nagar Road, Mahuva, Dist. Bhavnagar </t>
  </si>
  <si>
    <t>At Borala, Post- Bela, Ta. Talaja, Dist. Bhavnagar</t>
  </si>
  <si>
    <t>Duplicate</t>
  </si>
  <si>
    <t>68, Ambika Nagar Society-1, B/H. Bala Ashram Road, Katargam Road, Surat - 365004</t>
  </si>
  <si>
    <t>Plot No. 45, Nareshwar Society, 90-91, Chitra, Bhavnagar</t>
  </si>
  <si>
    <t>Main Road, Vishwakarma Nivas, Opp. Vadilal Ice Cream, At- Dhola (Jn), Ta- Umrala, Dist. Bhavnagar</t>
  </si>
  <si>
    <t>RPC-2/Tender/Bhavnagar/518</t>
  </si>
  <si>
    <t>RPC-2/Tender/Bhavnagar/517</t>
  </si>
  <si>
    <t>RBD/TRF/e-file/16/2026/1303/Section D1</t>
  </si>
  <si>
    <t>5-A, Mahalaxmi Complex, Opp. Sulekhan School, Radhanpur Road, Mehsana - 384002</t>
  </si>
  <si>
    <t>RBD/TRF/e-file/16/2026/1305/Section D1</t>
  </si>
  <si>
    <t>PUSHPRAJ CONSTRACTION &amp; SUPPLIERS</t>
  </si>
  <si>
    <t>House No. 1397-1, Abdasa, Mothala, Kachchh - 370650</t>
  </si>
  <si>
    <t>44743540091</t>
  </si>
  <si>
    <t>44743520234</t>
  </si>
  <si>
    <t>44978150650</t>
  </si>
  <si>
    <t>50301269731482</t>
  </si>
  <si>
    <t>50301269733370</t>
  </si>
  <si>
    <t>44932049031</t>
  </si>
  <si>
    <t>ICICI Bank</t>
  </si>
  <si>
    <t>162313005276</t>
  </si>
  <si>
    <t>162313005282</t>
  </si>
  <si>
    <t>162313005277</t>
  </si>
  <si>
    <t>162313005275</t>
  </si>
  <si>
    <t>162313005274</t>
  </si>
  <si>
    <t>50301327834234</t>
  </si>
  <si>
    <t>45021905875</t>
  </si>
  <si>
    <t>45021997551</t>
  </si>
  <si>
    <t>45028209076</t>
  </si>
  <si>
    <t>45028185973</t>
  </si>
  <si>
    <t>44935270950</t>
  </si>
  <si>
    <t>44959533044</t>
  </si>
  <si>
    <t>3204IPEBG260014</t>
  </si>
  <si>
    <t>22670300000306</t>
  </si>
  <si>
    <t>22670300000307</t>
  </si>
  <si>
    <t>2026-27</t>
  </si>
  <si>
    <t>101GT02260890003</t>
  </si>
  <si>
    <t>3204IPEBG260026</t>
  </si>
  <si>
    <t>GJ38943539150928Y</t>
  </si>
  <si>
    <t>GJ39015597922069Y</t>
  </si>
  <si>
    <t>GJ39056932268933Y</t>
  </si>
  <si>
    <t>584903030018243</t>
  </si>
  <si>
    <t>45049661926</t>
  </si>
  <si>
    <t>44983052033</t>
  </si>
  <si>
    <t>45013589393</t>
  </si>
  <si>
    <t>45004201143</t>
  </si>
  <si>
    <t xml:space="preserve">vivek construction </t>
  </si>
  <si>
    <t>SWASTIK CONSTRUCTION</t>
  </si>
  <si>
    <t>Om Construction Co</t>
  </si>
  <si>
    <t>Same Rate</t>
  </si>
  <si>
    <t>KRUNAL KAMLESH BHAI PATEL</t>
  </si>
  <si>
    <t>ABHIJITSINH NIRMALSINH
GOHIL</t>
  </si>
  <si>
    <t>KCC SOSIYA PRIVATE
LIMITED</t>
  </si>
  <si>
    <t>Construction of Ambedakar Hall at Village Mota Surka Tal. Shihor Dist. :- Bhavnagar</t>
  </si>
  <si>
    <t>Construction of Roads of Bhavnagar District Package No.RPC-2/BVN/MMGSY/Normal/2025-26/P.03 Ta.Shihor, Dist.: Bhavnagar</t>
  </si>
  <si>
    <t>Construction of Dudhala to Bambhaniya Road (VR NP) Km.0/000 to 4/000 Ta.Mahuva, Dist.: Bhavnagar</t>
  </si>
  <si>
    <t>Costruction of Umaniyavadar to Talagajarda Road (VR NP) Km.0/000 to 2/600 Ta.Mahuva, Dist.: Bhavnagar</t>
  </si>
  <si>
    <t>Construction of Kumbhan To Tared Road (VR NP) Km.0/000 to 5/000 Ta.Mahuva, Dist.: Bhavnagar</t>
  </si>
  <si>
    <t>Construction of Gandhol - Jaliya (Hastgiri) Road (NP) 0/000 - 2/250 Ta.Palitana, Dist.: Bhavnagar</t>
  </si>
  <si>
    <t>Improvement of Ghanghali - Bhangadh-Paliyad Road (VR) Km.0/000 to 6/820 Ta.Shihor, Dist.: Bhavnagar</t>
  </si>
  <si>
    <t>Construction to New Structure of Bhavnagar District Package No.RPC-2/BVN/MMGSY/Normal/2025-26/P.30 Ta.Jesar, Dist.: Bhavnagar.</t>
  </si>
  <si>
    <t>Construction of CD works on Madhada to Vavdi Road (NP) Bet. Ch.0/000 to 3/650 Ta.Shihor, Dist.: Bhavnagar</t>
  </si>
  <si>
    <t>Construction of Madhada to Toda Road (NP) 0/000-2/600 Ta.Shihor, Dist.: Bhavnagar</t>
  </si>
  <si>
    <t>Construction of Gundaranapara to Kharadi Road (VR NP) Km.0/000 to 1/250 Ta.Mahuva , Dist.: Bhavnagar</t>
  </si>
  <si>
    <t>22670300000311</t>
  </si>
  <si>
    <t>22670300000312</t>
  </si>
  <si>
    <t>22670300000313</t>
  </si>
  <si>
    <t>22670300000314</t>
  </si>
  <si>
    <t>22670300000308</t>
  </si>
  <si>
    <t>22670300000309</t>
  </si>
  <si>
    <t>45119342696</t>
  </si>
  <si>
    <t>5896381136</t>
  </si>
  <si>
    <t>5970453686</t>
  </si>
  <si>
    <t>46013634682</t>
  </si>
  <si>
    <t>45004080874</t>
  </si>
  <si>
    <t>45053492393</t>
  </si>
  <si>
    <t>45053409198</t>
  </si>
  <si>
    <t>45053538612</t>
  </si>
  <si>
    <t>45052859977</t>
  </si>
  <si>
    <t>Construction of New Clinic Animal Husbandary at Sanosara, Ta: Shihor, Dist: Bhavnagar</t>
  </si>
  <si>
    <t>45051844463</t>
  </si>
  <si>
    <t>45051759611</t>
  </si>
  <si>
    <t>45134771557</t>
  </si>
  <si>
    <t>UCO Bank</t>
  </si>
  <si>
    <t>047079</t>
  </si>
  <si>
    <t>047080</t>
  </si>
  <si>
    <t>047081</t>
  </si>
  <si>
    <t>047082</t>
  </si>
  <si>
    <t>Name of Contractor</t>
  </si>
  <si>
    <t>Contractor Type</t>
  </si>
  <si>
    <t>Resurfacing of Bambhariya to Bhadra Road (VR) Km.0/000 to 5/300 Ta.Mahuva Dist.; Bhavnagar</t>
  </si>
  <si>
    <t>SAI DARSHAN PARK,
PLOT NO 15,
SUBHASNAGAR, BHAVNAGAR-364001</t>
  </si>
  <si>
    <t>45053788211</t>
  </si>
  <si>
    <t>45053812789</t>
  </si>
  <si>
    <t>Emergency Repair Fulsar Shelavadar Road (ODR) Km. 0/000 to 2/510, Ta. Talaja</t>
  </si>
  <si>
    <t>Emergency Repair Sosiya Sosiyavadi area School Road (VR) Km. 0/000 to 1/100, Ta. Talaja</t>
  </si>
  <si>
    <t>Emergency Repair Shelavadar Padri (Bh) Road (VR) Km. 0/000 to 2/230, Ta. Talaja</t>
  </si>
  <si>
    <t>Emergency Repair Pratapara Approach Road (ODR) Km. 0/000 to 3/830, Ta. Talaja</t>
  </si>
  <si>
    <t>22630300000375</t>
  </si>
  <si>
    <t>22630300000376</t>
  </si>
  <si>
    <t>348803020704016</t>
  </si>
  <si>
    <t>Construction of Library work At Village Sartanpar At Ta:Bhavnagar Dist:Bhavnagar</t>
  </si>
  <si>
    <t>Construction of Parthana Hall Work At Kardej Primary School Ta:Bhavnagar Dist:Bhavnagar</t>
  </si>
  <si>
    <t>Construction of Shed at Bhadbhid Village Near the Lake Ta. Bhavnagar, Dist. Bhavnagar</t>
  </si>
  <si>
    <t>Construction of Room in  Shamshan Grah at village Nani Vavadi, Ta. Gariyadhar</t>
  </si>
  <si>
    <t>Construction of Room at Gram Vidyalaya, village Dudhala, Ta. Palitana</t>
  </si>
  <si>
    <t>Construction of Compound Wall at Community Hall of Village Nonghanvadar Tal. Palitana Dist. Bhavnagar</t>
  </si>
  <si>
    <t xml:space="preserve">Repairing of Anganvadi Building at various Taluka in Bhavnagar District </t>
  </si>
  <si>
    <t>Construction of Ambedakar hall near Adpyalpal Dada at Village Kadamgiri Tal. Palitana Dist. :- Bhavnagar</t>
  </si>
  <si>
    <t>Construction of CD Works on Malan River at Bila Village, Ta. Jesar, Dist. Bhavnagar</t>
  </si>
  <si>
    <t>Construction of CD Works on Rupavati road Behind Primary School at Nanajadra, Ta. Mahuva, Dist. Bhavnagar</t>
  </si>
  <si>
    <t>Construction of CD Works on Mota Vejala to Ranivada Dam Taraf Javana Khan Nera ma Causeway nu Work at Jesar, Ta. Jesar, Dist. Bhavnagar</t>
  </si>
  <si>
    <t>Construction of CD Works on Ramapirvala Nera ma Kumbhar ni vadi Taraf Jata Nerama Causeway nu Work at Jesar, Ta.Jesar, Dist.: Bhavnagar</t>
  </si>
  <si>
    <t>Construction of Computer Lab or Library at Kendravati School Nani Rajsthali Village, Ta. Palitana, Dist. Bhavnagar</t>
  </si>
  <si>
    <t>ABHIJITSINH NIRMALSINH GOHIL</t>
  </si>
  <si>
    <t>JEETRAJSINH VIKRAMSINH ZALA</t>
  </si>
  <si>
    <t>BAPA SITARAM ENTERPRISE</t>
  </si>
  <si>
    <t>MAA CONSTRUCTION</t>
  </si>
  <si>
    <t>Mahaveer Construction</t>
  </si>
  <si>
    <t>Near Solanki Mandap, At. Karmadiya, Ta. Mahuva</t>
  </si>
  <si>
    <t>45116064131</t>
  </si>
  <si>
    <t>45238890612</t>
  </si>
  <si>
    <t>45116114447</t>
  </si>
  <si>
    <t>45238926174</t>
  </si>
  <si>
    <t>348803020704017</t>
  </si>
  <si>
    <t>9150800942</t>
  </si>
  <si>
    <t>122, Sitaram Sheri, At. Jesar, Ta. Jesar, Dist. Bhavnagar</t>
  </si>
  <si>
    <t>45274006357</t>
  </si>
  <si>
    <t>45273920170</t>
  </si>
  <si>
    <t>22630300000397</t>
  </si>
  <si>
    <t>22630300000399</t>
  </si>
  <si>
    <t>Tender Notice No</t>
  </si>
  <si>
    <t>Tender Sr No</t>
  </si>
  <si>
    <t>Tender Amount</t>
  </si>
  <si>
    <t>Contractor Name</t>
  </si>
  <si>
    <t>Approval Number</t>
  </si>
  <si>
    <t>Tender Acceptance Letter Date</t>
  </si>
  <si>
    <t>Trial Number</t>
  </si>
  <si>
    <t>Package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</si>
</sst>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14009]dd/mm/yyyy;@"/>
  </numFmts>
  <fonts count="6">
    <font>
      <sz val="11"/>
      <color theme="1"/>
      <name val="Calibri"/>
      <family val="2"/>
      <scheme val="minor"/>
    </font>
    <font>
      <sz val="1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6"/>
      <color theme="1"/>
      <name val="Inte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C0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47">
    <xf numFmtId="0" fontId="0" fillId="0" borderId="0" xfId="0"/>
    <xf numFmtId="0" fontId="1" fillId="0" borderId="0" xfId="0" applyFont="1"/>
    <xf numFmtId="0" fontId="1" fillId="0" borderId="0" xfId="0" applyFont="1" applyAlignment="1">
      <alignment horizontal="left"/>
    </xf>
    <xf numFmtId="0" fontId="1" fillId="0" borderId="0" xfId="0" applyFont="1" applyAlignment="1">
      <alignment horizontal="right"/>
    </xf>
    <xf numFmtId="0" fontId="1" fillId="0" borderId="1" xfId="0" applyFont="1" applyBorder="1" applyAlignment="1">
      <alignment horizontal="center" vertical="top" wrapText="1"/>
    </xf>
    <xf numFmtId="164" fontId="1" fillId="0" borderId="1" xfId="0" applyNumberFormat="1" applyFont="1" applyBorder="1" applyAlignment="1">
      <alignment horizontal="center" vertical="top" wrapText="1"/>
    </xf>
    <xf numFmtId="0" fontId="1" fillId="0" borderId="1" xfId="0" applyFont="1" applyBorder="1" applyAlignment="1">
      <alignment horizontal="left" vertical="top" wrapText="1"/>
    </xf>
    <xf numFmtId="4" fontId="1" fillId="0" borderId="1" xfId="0" applyNumberFormat="1" applyFont="1" applyBorder="1" applyAlignment="1">
      <alignment horizontal="right" vertical="top" wrapText="1"/>
    </xf>
    <xf numFmtId="2" fontId="1" fillId="0" borderId="1" xfId="0" applyNumberFormat="1" applyFont="1" applyBorder="1" applyAlignment="1">
      <alignment horizontal="center" vertical="top" wrapText="1"/>
    </xf>
    <xf numFmtId="3" fontId="1" fillId="0" borderId="1" xfId="0" applyNumberFormat="1" applyFont="1" applyBorder="1" applyAlignment="1">
      <alignment horizontal="right" vertical="top" wrapText="1"/>
    </xf>
    <xf numFmtId="0" fontId="1" fillId="0" borderId="1" xfId="0" applyFont="1" applyBorder="1" applyAlignment="1">
      <alignment horizontal="right" vertical="top" wrapText="1"/>
    </xf>
    <xf numFmtId="14" fontId="1" fillId="0" borderId="1" xfId="0" applyNumberFormat="1" applyFont="1" applyBorder="1" applyAlignment="1">
      <alignment horizontal="center" vertical="top" wrapText="1"/>
    </xf>
    <xf numFmtId="1" fontId="1" fillId="0" borderId="1" xfId="0" applyNumberFormat="1" applyFont="1" applyBorder="1" applyAlignment="1">
      <alignment horizontal="center" vertical="top" wrapText="1"/>
    </xf>
    <xf numFmtId="0" fontId="1" fillId="0" borderId="1" xfId="0" applyFont="1" applyBorder="1" applyAlignment="1">
      <alignment horizontal="center" vertical="top"/>
    </xf>
    <xf numFmtId="165" fontId="1" fillId="0" borderId="1" xfId="0" applyNumberFormat="1" applyFont="1" applyBorder="1" applyAlignment="1">
      <alignment horizontal="center" vertical="top" wrapText="1"/>
    </xf>
    <xf numFmtId="14" fontId="1" fillId="0" borderId="1" xfId="0" applyNumberFormat="1" applyFont="1" applyBorder="1" applyAlignment="1">
      <alignment horizontal="left" vertical="top" wrapText="1"/>
    </xf>
    <xf numFmtId="0" fontId="0" fillId="0" borderId="0" xfId="0" applyAlignment="1">
      <alignment horizontal="center" vertical="center"/>
    </xf>
    <xf numFmtId="0" fontId="3" fillId="0" borderId="1" xfId="0" applyFont="1" applyBorder="1" applyAlignment="1">
      <alignment horizontal="center" vertical="center"/>
    </xf>
    <xf numFmtId="0" fontId="3" fillId="0" borderId="0" xfId="0" applyFont="1"/>
    <xf numFmtId="0" fontId="4" fillId="0" borderId="1" xfId="0" pivotButton="1"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wrapText="1"/>
    </xf>
    <xf numFmtId="0" fontId="2" fillId="0" borderId="0" xfId="0" applyFont="1" applyAlignment="1">
      <alignment horizontal="center" vertical="center" wrapText="1"/>
    </xf>
    <xf numFmtId="0" fontId="0" fillId="0" borderId="0" xfId="0" pivotButton="1"/>
    <xf numFmtId="0" fontId="0" fillId="0" borderId="0" xfId="0" applyAlignment="1">
      <alignment horizontal="left"/>
    </xf>
    <xf numFmtId="0" fontId="0" fillId="0" borderId="1" xfId="0" applyBorder="1" applyAlignment="1">
      <alignment horizontal="center" vertical="center"/>
    </xf>
    <xf numFmtId="14" fontId="1" fillId="0" borderId="1" xfId="0" applyNumberFormat="1" applyFont="1" applyBorder="1" applyAlignment="1">
      <alignment horizontal="center" vertical="top"/>
    </xf>
    <xf numFmtId="0" fontId="1" fillId="0" borderId="0" xfId="0" applyFont="1" applyAlignment="1">
      <alignment horizontal="center"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center" vertical="top" wrapText="1"/>
    </xf>
    <xf numFmtId="0" fontId="0" fillId="0" borderId="1" xfId="0" applyBorder="1" applyAlignment="1">
      <alignment horizontal="left" vertical="top" wrapText="1"/>
    </xf>
    <xf numFmtId="0" fontId="0" fillId="0" borderId="1" xfId="0" applyBorder="1" applyAlignment="1">
      <alignment horizontal="center" vertical="top" wrapText="1"/>
    </xf>
    <xf numFmtId="49" fontId="1" fillId="0" borderId="1" xfId="0" applyNumberFormat="1" applyFont="1" applyBorder="1" applyAlignment="1">
      <alignment horizontal="right" vertical="top" wrapText="1"/>
    </xf>
    <xf numFmtId="0" fontId="1" fillId="2" borderId="1" xfId="0" applyFont="1" applyFill="1" applyBorder="1" applyAlignment="1">
      <alignment horizontal="left" vertical="top" wrapText="1"/>
    </xf>
    <xf numFmtId="0" fontId="2" fillId="3" borderId="1" xfId="0" applyFont="1" applyFill="1" applyBorder="1" applyAlignment="1">
      <alignment horizontal="center" vertical="center" wrapText="1"/>
    </xf>
    <xf numFmtId="0" fontId="3" fillId="0" borderId="0" xfId="0" applyFont="1" applyAlignment="1">
      <alignment horizontal="center" vertical="center"/>
    </xf>
    <xf numFmtId="4" fontId="0" fillId="0" borderId="0" xfId="0" applyNumberFormat="1"/>
    <xf numFmtId="14" fontId="0" fillId="0" borderId="1" xfId="0" applyNumberFormat="1" applyBorder="1" applyAlignment="1">
      <alignment vertical="top"/>
    </xf>
    <xf numFmtId="0" fontId="1" fillId="0" borderId="2" xfId="0" applyFont="1" applyBorder="1" applyAlignment="1">
      <alignment horizontal="center" vertical="top" wrapText="1"/>
    </xf>
    <xf numFmtId="164" fontId="1" fillId="0" borderId="2" xfId="0" applyNumberFormat="1" applyFont="1" applyBorder="1" applyAlignment="1">
      <alignment horizontal="center" vertical="top" wrapText="1"/>
    </xf>
    <xf numFmtId="4" fontId="1" fillId="0" borderId="2" xfId="0" applyNumberFormat="1" applyFont="1" applyBorder="1" applyAlignment="1">
      <alignment horizontal="right" vertical="top" wrapText="1"/>
    </xf>
    <xf numFmtId="165" fontId="1" fillId="0" borderId="2" xfId="0" applyNumberFormat="1" applyFont="1" applyBorder="1" applyAlignment="1">
      <alignment horizontal="center" vertical="top" wrapText="1"/>
    </xf>
    <xf numFmtId="0" fontId="1" fillId="4" borderId="1" xfId="0" applyFont="1" applyFill="1" applyBorder="1" applyAlignment="1">
      <alignment horizontal="left" vertical="top" wrapText="1"/>
    </xf>
    <xf numFmtId="0" fontId="0" fillId="0" borderId="0" xfId="0" applyAlignment="1">
      <alignment vertical="top" wrapText="1"/>
    </xf>
    <xf numFmtId="0" fontId="1" fillId="0" borderId="0" xfId="0" applyFont="1" applyAlignment="1">
      <alignment horizontal="center" vertical="center" wrapText="1"/>
    </xf>
    <xf numFmtId="14" fontId="5" fillId="0" borderId="1" xfId="0" applyNumberFormat="1" applyFont="1" applyBorder="1"/>
  </cellXfs>
  <cellStyles count="1">
    <cellStyle name="Normal" xfId="0" builtinId="0"/>
  </cellStyles>
  <dxfs count="28">
    <dxf>
      <numFmt numFmtId="4" formatCode="#,##0.00"/>
    </dxf>
    <dxf>
      <numFmt numFmtId="4" formatCode="#,##0.00"/>
    </dxf>
    <dxf>
      <numFmt numFmtId="4" formatCode="#,##0.00"/>
    </dxf>
    <dxf>
      <font>
        <sz val="12"/>
      </font>
    </dxf>
    <dxf>
      <font>
        <sz val="12"/>
      </font>
    </dxf>
    <dxf>
      <font>
        <sz val="12"/>
      </font>
    </dxf>
    <dxf>
      <alignment wrapText="1"/>
    </dxf>
    <dxf>
      <alignment wrapText="1"/>
    </dxf>
    <dxf>
      <font>
        <sz val="14"/>
      </font>
    </dxf>
    <dxf>
      <font>
        <sz val="14"/>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calcChain" Target="calcChain.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SITARAM" refreshedDate="45972.785703703703" createdVersion="8" refreshedVersion="8" minRefreshableVersion="3" recordCount="393" xr:uid="{30CA66B7-2A5B-4673-BCB2-1C20B6E7C44F}">
  <cacheSource type="worksheet">
    <worksheetSource ref="A1:AL1039" sheet="Tender"/>
  </cacheSource>
  <cacheFields count="64">
    <cacheField name="Sr. No." numFmtId="0">
      <sharedItems containsString="0" containsBlank="1" containsNumber="1" containsInteger="1" minValue="1" maxValue="392"/>
    </cacheField>
    <cacheField name="Job No. Year" numFmtId="0">
      <sharedItems containsBlank="1"/>
    </cacheField>
    <cacheField name="Tender Notice Year" numFmtId="0">
      <sharedItems containsBlank="1"/>
    </cacheField>
    <cacheField name="Tender Notice No." numFmtId="0">
      <sharedItems containsString="0" containsBlank="1" containsNumber="1" containsInteger="1" minValue="1" maxValue="17" count="18">
        <n v="1"/>
        <n v="2"/>
        <n v="3"/>
        <n v="4"/>
        <n v="5"/>
        <n v="6"/>
        <n v="7"/>
        <n v="8"/>
        <n v="9"/>
        <n v="10"/>
        <n v="11"/>
        <n v="12"/>
        <n v="13"/>
        <n v="14"/>
        <n v="15"/>
        <n v="16"/>
        <n v="17"/>
        <m/>
      </sharedItems>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21660"/>
    </cacheField>
    <cacheField name="Trial No." numFmtId="0">
      <sharedItems containsString="0" containsBlank="1" containsNumber="1" containsInteger="1" minValue="1" maxValue="11"/>
    </cacheField>
    <cacheField name="Tender Creation Date Date" numFmtId="164">
      <sharedItems containsNonDate="0" containsDate="1" containsString="0" containsBlank="1" minDate="2025-04-03T00:00:00" maxDate="2025-09-04T00:00:00"/>
    </cacheField>
    <cacheField name="Last Date of Submission" numFmtId="164">
      <sharedItems containsNonDate="0" containsDate="1" containsString="0" containsBlank="1" minDate="2025-04-15T00:00:00" maxDate="2025-09-16T00:00:00"/>
    </cacheField>
    <cacheField name="Tender Opening Date" numFmtId="164">
      <sharedItems containsNonDate="0" containsDate="1" containsString="0" containsBlank="1" minDate="2025-04-16T00:00:00" maxDate="2025-09-17T00:00:00"/>
    </cacheField>
    <cacheField name="Tender Validity Period" numFmtId="0">
      <sharedItems containsNonDate="0" containsDate="1" containsString="0" containsBlank="1" minDate="1900-04-29T00:00:00" maxDate="2026-01-14T00:00:00"/>
    </cacheField>
    <cacheField name="Estimated Amount" numFmtId="4">
      <sharedItems containsString="0" containsBlank="1" containsNumber="1" minValue="202031.85" maxValue="419152057.25"/>
    </cacheField>
    <cacheField name="Re-Invite?" numFmtId="0">
      <sharedItems containsBlank="1"/>
    </cacheField>
    <cacheField name="Contract Price" numFmtId="4">
      <sharedItems containsString="0" containsBlank="1" containsNumber="1" minValue="183101.47" maxValue="334063461.57999998"/>
    </cacheField>
    <cacheField name="Above/ Below (%)" numFmtId="0">
      <sharedItems containsString="0" containsBlank="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0">
      <sharedItems containsString="0" containsBlank="1" containsNumber="1" minValue="468077.87" maxValue="1224193.3999999999"/>
    </cacheField>
    <cacheField name="Total (A+B)" numFmtId="0">
      <sharedItems containsString="0" containsBlank="1" containsNumber="1" minValue="0" maxValue="334063461.57999998"/>
    </cacheField>
    <cacheField name="Contract Awarded to" numFmtId="0">
      <sharedItems containsBlank="1"/>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5-09-25T00:00:00"/>
    </cacheField>
    <cacheField name="Name of Scheme" numFmtId="0">
      <sharedItems containsBlank="1"/>
    </cacheField>
    <cacheField name="Tender Approval Office" numFmtId="0">
      <sharedItems containsBlank="1"/>
    </cacheField>
    <cacheField name="Tender Approval No." numFmtId="0">
      <sharedItems containsBlank="1"/>
    </cacheField>
    <cacheField name="Tender Approval Date" numFmtId="0">
      <sharedItems containsDate="1" containsBlank="1" containsMixedTypes="1" minDate="2025-05-14T00:00:00" maxDate="2025-10-15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1-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0">
      <sharedItems containsNonDate="0" containsDate="1" containsString="0" containsBlank="1" minDate="1900-02-03T00:00:00" maxDate="2026-12-02T00:00:00"/>
    </cacheField>
    <cacheField name="Defect Liability Period (Date)" numFmtId="0">
      <sharedItems containsNonDate="0" containsDate="1" containsString="0" containsBlank="1" minDate="1901-01-24T00:00:00" maxDate="2029-11-11T00:00:00"/>
    </cacheField>
    <cacheField name="Tender Acceptance Letter Worksheet No." numFmtId="0">
      <sharedItems containsString="0" containsBlank="1" containsNumber="1" containsInteger="1" minValue="370" maxValue="1521"/>
    </cacheField>
    <cacheField name="Tender Acceptance Letter Date" numFmtId="0">
      <sharedItems containsNonDate="0" containsDate="1" containsString="0" containsBlank="1" minDate="2025-05-20T00:00:00" maxDate="2025-11-12T00:00:00"/>
    </cacheField>
    <cacheField name="Agreement Year" numFmtId="0">
      <sharedItems containsBlank="1"/>
    </cacheField>
    <cacheField name="Agreement No." numFmtId="0">
      <sharedItems containsString="0" containsBlank="1" containsNumber="1" containsInteger="1" minValue="45" maxValue="202"/>
    </cacheField>
    <cacheField name="Agreement Date" numFmtId="0">
      <sharedItems containsNonDate="0" containsDate="1" containsString="0" containsBlank="1" minDate="2025-07-14T00:00:00" maxDate="2025-11-11T00:00:00"/>
    </cacheField>
    <cacheField name="Security Deposit Type (BG/ FDR)" numFmtId="0">
      <sharedItems containsBlank="1"/>
    </cacheField>
    <cacheField name="Bank Name of Security Deposit BG/ FDR)" numFmtId="0">
      <sharedItems containsBlank="1"/>
    </cacheField>
    <cacheField name="Security Deposit BG/ FDR Number " numFmtId="0">
      <sharedItems containsBlank="1" containsMixedTypes="1" containsNumber="1" containsInteger="1" minValue="5856182489" maxValue="771613001573"/>
    </cacheField>
    <cacheField name="Security Deposit BG/ FDR Amount" numFmtId="0">
      <sharedItems containsString="0" containsBlank="1" containsNumber="1" containsInteger="1" minValue="24000" maxValue="1943000"/>
    </cacheField>
    <cacheField name="Security Deposit BG/ FDR Date" numFmtId="0">
      <sharedItems containsNonDate="0" containsDate="1" containsString="0" containsBlank="1" minDate="2025-06-16T00:00:00" maxDate="2025-10-30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8115723852" maxValue="78049184811"/>
    </cacheField>
    <cacheField name="Additional Performance Security BG/FDR Amount" numFmtId="0">
      <sharedItems containsString="0" containsBlank="1" containsNumber="1" containsInteger="1" minValue="1000" maxValue="937000"/>
    </cacheField>
    <cacheField name="Additional Performance Security BG/FDR Date" numFmtId="0">
      <sharedItems containsNonDate="0" containsDate="1" containsString="0" containsBlank="1" minDate="2025-06-23T00:00:00" maxDate="2025-10-30T00:00:00"/>
    </cacheField>
    <cacheField name="Time Limit Starts From Date" numFmtId="0">
      <sharedItems containsNonDate="0" containsDate="1" containsString="0" containsBlank="1" minDate="2024-08-25T00:00:00" maxDate="2025-12-02T00:00:00"/>
    </cacheField>
    <cacheField name="Work Order Worksheet No." numFmtId="0">
      <sharedItems containsString="0" containsBlank="1" containsNumber="1" containsInteger="1" minValue="949" maxValue="1510"/>
    </cacheField>
    <cacheField name="Work Order  Date" numFmtId="0">
      <sharedItems containsNonDate="0" containsDate="1" containsString="0" containsBlank="1" minDate="2025-07-14T00:00:00" maxDate="2025-11-11T00:00:00"/>
    </cacheField>
    <cacheField name="Notice 1 WS No" numFmtId="0">
      <sharedItems containsNonDate="0" containsString="0" containsBlank="1"/>
    </cacheField>
    <cacheField name="Notice 1 Date" numFmtId="0">
      <sharedItems containsNonDate="0" containsString="0" containsBlank="1"/>
    </cacheField>
    <cacheField name="Notice 2 WS No" numFmtId="0">
      <sharedItems containsNonDate="0" containsString="0" containsBlank="1"/>
    </cacheField>
    <cacheField name="Notice 2 Dat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SITARAM" refreshedDate="45999.574175810187" createdVersion="8" refreshedVersion="8" minRefreshableVersion="3" recordCount="402" xr:uid="{34BFB1F6-D6E1-497A-8CCB-7D3907144922}">
  <cacheSource type="worksheet">
    <worksheetSource ref="A1:AL847" sheet="Tender"/>
  </cacheSource>
  <cacheFields count="67">
    <cacheField name="Sr. No." numFmtId="0">
      <sharedItems containsString="0" containsBlank="1" containsNumber="1" containsInteger="1" minValue="1" maxValue="401"/>
    </cacheField>
    <cacheField name="Job No. Year" numFmtId="0">
      <sharedItems containsBlank="1"/>
    </cacheField>
    <cacheField name="Tender Notice Year" numFmtId="0">
      <sharedItems containsBlank="1"/>
    </cacheField>
    <cacheField name="Tender Notice No." numFmtId="0">
      <sharedItems containsString="0" containsBlank="1" containsNumber="1" containsInteger="1" minValue="1" maxValue="21"/>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ount="8">
        <s v="Vallabhipur"/>
        <s v="Mahuva"/>
        <s v="Bhavnagar"/>
        <s v="Palitana"/>
        <s v="Talaja"/>
        <s v="Shihor"/>
        <e v="#N/A"/>
        <m/>
      </sharedItems>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37000"/>
    </cacheField>
    <cacheField name="Trial No." numFmtId="0">
      <sharedItems containsString="0" containsBlank="1" containsNumber="1" containsInteger="1" minValue="1" maxValue="12"/>
    </cacheField>
    <cacheField name="Tender Creation Date Date" numFmtId="164">
      <sharedItems containsNonDate="0" containsDate="1" containsString="0" containsBlank="1" minDate="2025-04-03T00:00:00" maxDate="2025-10-19T00:00:00"/>
    </cacheField>
    <cacheField name="Last Date of Submission" numFmtId="164">
      <sharedItems containsNonDate="0" containsDate="1" containsString="0" containsBlank="1" minDate="2025-04-15T00:00:00" maxDate="2025-11-04T00:00:00"/>
    </cacheField>
    <cacheField name="Tender Opening Date" numFmtId="164">
      <sharedItems containsNonDate="0" containsDate="1" containsString="0" containsBlank="1" minDate="2025-04-16T00:00:00" maxDate="2025-11-05T00:00:00"/>
    </cacheField>
    <cacheField name="Tender Validity Period" numFmtId="0">
      <sharedItems containsNonDate="0" containsDate="1" containsString="0" containsBlank="1" minDate="1900-04-29T00:00:00" maxDate="2026-03-04T00:00:00"/>
    </cacheField>
    <cacheField name="Estimated Amount" numFmtId="4">
      <sharedItems containsString="0" containsBlank="1" containsNumber="1" minValue="0" maxValue="419152057.25"/>
    </cacheField>
    <cacheField name="Re-Invite?" numFmtId="0">
      <sharedItems containsBlank="1"/>
    </cacheField>
    <cacheField name="Contract Price" numFmtId="4">
      <sharedItems containsString="0" containsBlank="1" containsNumber="1" minValue="0" maxValue="334063461.57999998"/>
    </cacheField>
    <cacheField name="Above/ Below (%)" numFmtId="0">
      <sharedItems containsString="0" containsBlank="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0">
      <sharedItems containsString="0" containsBlank="1" containsNumber="1" minValue="468077.87" maxValue="1224193.3999999999"/>
    </cacheField>
    <cacheField name="Total (A+B)" numFmtId="0">
      <sharedItems containsString="0" containsBlank="1" containsNumber="1" minValue="0" maxValue="334063461.57999998"/>
    </cacheField>
    <cacheField name="Contract Awarded to" numFmtId="0">
      <sharedItems containsBlank="1"/>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5-11-14T00:00:00"/>
    </cacheField>
    <cacheField name="Name of Scheme" numFmtId="0">
      <sharedItems containsBlank="1"/>
    </cacheField>
    <cacheField name="Tender Approval Office" numFmtId="0">
      <sharedItems containsBlank="1"/>
    </cacheField>
    <cacheField name="Tender Approval No." numFmtId="0">
      <sharedItems containsBlank="1"/>
    </cacheField>
    <cacheField name="Tender Approval Date" numFmtId="0">
      <sharedItems containsDate="1" containsBlank="1" containsMixedTypes="1" minDate="2025-05-14T00:00:00" maxDate="2025-11-26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1-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0">
      <sharedItems containsNonDate="0" containsDate="1" containsString="0" containsBlank="1" minDate="1900-02-03T00:00:00" maxDate="2026-12-02T00:00:00"/>
    </cacheField>
    <cacheField name="Defect Liability Period (Date)" numFmtId="0">
      <sharedItems containsNonDate="0" containsDate="1" containsString="0" containsBlank="1" minDate="1901-01-24T00:00:00" maxDate="2029-11-11T00:00:00"/>
    </cacheField>
    <cacheField name="Tender Acceptance Letter Worksheet No." numFmtId="0">
      <sharedItems containsString="0" containsBlank="1" containsNumber="1" containsInteger="1" minValue="370" maxValue="1668"/>
    </cacheField>
    <cacheField name="Tender Acceptance Letter Date" numFmtId="0">
      <sharedItems containsNonDate="0" containsDate="1" containsString="0" containsBlank="1" minDate="2025-05-20T00:00:00" maxDate="2025-11-27T00:00:00"/>
    </cacheField>
    <cacheField name="Agreement Year" numFmtId="0">
      <sharedItems containsBlank="1"/>
    </cacheField>
    <cacheField name="Agreement No." numFmtId="0">
      <sharedItems containsString="0" containsBlank="1" containsNumber="1" containsInteger="1" minValue="45" maxValue="221"/>
    </cacheField>
    <cacheField name="Agreement Date" numFmtId="0">
      <sharedItems containsNonDate="0" containsDate="1" containsString="0" containsBlank="1" minDate="2025-07-14T00:00:00" maxDate="2025-12-03T00:00:00"/>
    </cacheField>
    <cacheField name="Security Deposit Type (BG/ FDR)" numFmtId="0">
      <sharedItems containsBlank="1" longText="1"/>
    </cacheField>
    <cacheField name="Bank Name of Security Deposit BG/ FDR)" numFmtId="0">
      <sharedItems containsBlank="1"/>
    </cacheField>
    <cacheField name="Security Deposit BG/ FDR Number " numFmtId="0">
      <sharedItems containsBlank="1" containsMixedTypes="1" containsNumber="1" containsInteger="1" minValue="5856182489" maxValue="771613001573"/>
    </cacheField>
    <cacheField name="Security Deposit BG/ FDR Amount" numFmtId="0">
      <sharedItems containsString="0" containsBlank="1" containsNumber="1" containsInteger="1" minValue="10000" maxValue="1943000"/>
    </cacheField>
    <cacheField name="Security Deposit BG/ FDR Date" numFmtId="0">
      <sharedItems containsNonDate="0" containsDate="1" containsString="0" containsBlank="1" minDate="2025-06-16T00:00:00" maxDate="2025-11-28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8115723852" maxValue="78049184811"/>
    </cacheField>
    <cacheField name="Additional Performance Security BG/FDR Amount" numFmtId="0">
      <sharedItems containsBlank="1" containsMixedTypes="1" containsNumber="1" containsInteger="1" minValue="1000" maxValue="1246000"/>
    </cacheField>
    <cacheField name="Additional Performance Security BG/FDR Date" numFmtId="0">
      <sharedItems containsNonDate="0" containsDate="1" containsString="0" containsBlank="1" minDate="2025-06-23T00:00:00" maxDate="2025-11-04T00:00:00"/>
    </cacheField>
    <cacheField name="Time Limit Starts From Date" numFmtId="0">
      <sharedItems containsNonDate="0" containsDate="1" containsString="0" containsBlank="1" minDate="2024-08-25T00:00:00" maxDate="2026-01-02T00:00:00"/>
    </cacheField>
    <cacheField name="Work Order Worksheet No." numFmtId="0">
      <sharedItems containsString="0" containsBlank="1" containsNumber="1" containsInteger="1" minValue="949" maxValue="1593"/>
    </cacheField>
    <cacheField name="Work Order  Date" numFmtId="0">
      <sharedItems containsNonDate="0" containsDate="1" containsString="0" containsBlank="1" minDate="2025-07-14T00:00:00" maxDate="2025-12-03T00:00:00"/>
    </cacheField>
    <cacheField name="Notice 1 WS No" numFmtId="0">
      <sharedItems containsNonDate="0" containsString="0" containsBlank="1"/>
    </cacheField>
    <cacheField name="Notice 1 Date" numFmtId="0">
      <sharedItems containsNonDate="0" containsString="0" containsBlank="1"/>
    </cacheField>
    <cacheField name="Notice 2 WS No" numFmtId="0">
      <sharedItems containsNonDate="0" containsString="0" containsBlank="1"/>
    </cacheField>
    <cacheField name="Notice 2 Date" numFmtId="0">
      <sharedItems containsNonDate="0" containsString="0" containsBlank="1"/>
    </cacheField>
    <cacheField name="Notice 3 WS No" numFmtId="0">
      <sharedItems containsNonDate="0" containsString="0" containsBlank="1"/>
    </cacheField>
    <cacheField name="Notice 3 Date" numFmtId="0">
      <sharedItems containsNonDate="0" containsString="0" containsBlank="1"/>
    </cacheField>
    <cacheField name="Remark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SITARAM" refreshedDate="46161.588731481483" createdVersion="8" refreshedVersion="8" minRefreshableVersion="3" recordCount="658" xr:uid="{7878E1A4-8D4E-4F77-8489-E007E7D9E850}">
  <cacheSource type="worksheet">
    <worksheetSource ref="A1:AL697" sheet="Tender"/>
  </cacheSource>
  <cacheFields count="72">
    <cacheField name="Sr. No." numFmtId="0">
      <sharedItems containsString="0" containsBlank="1" containsNumber="1" containsInteger="1" minValue="1" maxValue="656"/>
    </cacheField>
    <cacheField name="Tender Notice Year" numFmtId="0">
      <sharedItems containsBlank="1"/>
    </cacheField>
    <cacheField name="Tender Notice No." numFmtId="0">
      <sharedItems containsString="0" containsBlank="1" containsNumber="1" containsInteger="1" minValue="1" maxValue="36"/>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93853"/>
    </cacheField>
    <cacheField name="Trial No." numFmtId="0">
      <sharedItems containsString="0" containsBlank="1" containsNumber="1" containsInteger="1" minValue="1" maxValue="12"/>
    </cacheField>
    <cacheField name="Tender Creation Date Date" numFmtId="164">
      <sharedItems containsNonDate="0" containsDate="1" containsString="0" containsBlank="1" minDate="2025-04-03T00:00:00" maxDate="2026-03-02T00:00:00"/>
    </cacheField>
    <cacheField name="Last Date of Submission" numFmtId="164">
      <sharedItems containsNonDate="0" containsDate="1" containsString="0" containsBlank="1" minDate="2025-04-15T00:00:00" maxDate="2026-03-17T00:00:00"/>
    </cacheField>
    <cacheField name="Tender Opening Date" numFmtId="164">
      <sharedItems containsNonDate="0" containsDate="1" containsString="0" containsBlank="1" minDate="2025-04-16T00:00:00" maxDate="2026-03-19T00:00:00"/>
    </cacheField>
    <cacheField name="Tender Validity Period" numFmtId="0">
      <sharedItems containsNonDate="0" containsDate="1" containsString="0" containsBlank="1" minDate="1900-04-29T00:00:00" maxDate="2026-07-15T00:00:00"/>
    </cacheField>
    <cacheField name="Estimated Amount" numFmtId="4">
      <sharedItems containsString="0" containsBlank="1" containsNumber="1" minValue="0" maxValue="419152057.25"/>
    </cacheField>
    <cacheField name="Re-Invite?" numFmtId="0">
      <sharedItems containsBlank="1"/>
    </cacheField>
    <cacheField name="Contract Price" numFmtId="4">
      <sharedItems containsString="0" containsBlank="1" containsNumber="1" minValue="0" maxValue="334063461.57999998"/>
    </cacheField>
    <cacheField name="Above/ Below (%)" numFmtId="0">
      <sharedItems containsBlank="1" containsMixedTypes="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4">
      <sharedItems containsString="0" containsBlank="1" containsNumber="1" minValue="240055.41" maxValue="1224193.3999999999"/>
    </cacheField>
    <cacheField name="Total (A+B)" numFmtId="0">
      <sharedItems containsString="0" containsBlank="1" containsNumber="1" minValue="0" maxValue="334063461.57999998"/>
    </cacheField>
    <cacheField name="Contract Awarded to" numFmtId="0">
      <sharedItems containsBlank="1" count="128">
        <s v="KRISHNA CONSTRUCTION"/>
        <s v="OM CONSTRUCTION CO."/>
        <s v="VIJAYBHAI MOHANBHAI SINDHAV"/>
        <m/>
        <s v="VCPROJECT &amp; INFRA PVT. LTD."/>
        <s v="SHIV DHARA ENTERPRISE"/>
        <s v="C M VAGHELA"/>
        <s v="V M SOJITRA"/>
        <s v="R M Dasa Infrastructure Pvt. Ltd."/>
        <s v="BHAVANI CONSTRUCTION COMPANY"/>
        <s v="JAYDEEP CONSTRUCTION CO"/>
        <s v="ASHAPURA CONSTRUCTION"/>
        <s v="Universal associates"/>
        <s v="KCC SOSIYA PRIVATE LIMITED"/>
        <s v="SAMIR H SAIYAD"/>
        <s v="VASHRAMBHAI BIJALBHAI AND CO"/>
        <s v="CHAUHAN LALJIBHAI ARJANBHAI"/>
        <s v="JAY KANDHAL CONSTRUCTION"/>
        <s v="JAY PAVER BLOCK"/>
        <s v="SHIV CONTRUCTION"/>
        <s v="UDAYBHAI R. LUNSAR"/>
        <s v="SANDIP DINESHBHAI VANZARA"/>
        <s v="ASHOKBHAI PARSHOTAMBHAI_x000a_BARAIYA"/>
        <s v="MAYANKKUMAR JAYANTIBHAI GODHANI"/>
        <s v="DEV CONSTRUCTION"/>
        <s v="Shri Siddhi Vinayak Construction"/>
        <s v="Aarti Construction"/>
        <s v="BABUBHAI HAKABHAI GOHIL"/>
        <s v="GOHIL NARENDRASINH P"/>
        <s v="VANDEMATARAM CONSTRUCTION"/>
        <s v="BALAJI CONSTRUCTION"/>
        <s v="SARVAIYA RAJENDRASINH BAHADURSINH"/>
        <s v="CUBE INFA PROJECTS"/>
        <s v="S D KHUMAN"/>
        <s v="HARBHOLE BUILDERS &amp;_x000a_CONSTRUCTION"/>
        <s v="SURYADEEP SUPPLIERS"/>
        <s v="PARTH K MEHTA"/>
        <s v="MOGAL CONSTRUCTION, Gir Somnath"/>
        <s v="RUDRA CONSTRUCTION"/>
        <s v="JAY DANEV CONSTRUCTION"/>
        <s v="JAY PUNJESHWAR CONSTRUCTION"/>
        <s v="Jaysukhbhai Dhirubhai Sardhara"/>
        <s v="GANESH BUILDERS"/>
        <s v="SOMNATH ENTERPRISE"/>
        <s v="KEVAL BUDHESHBHAI BHAYANI"/>
        <s v="HEER CONSTRUCTION"/>
        <s v="HRUTURAJSINH JESUBHA GOHIL"/>
        <s v="VARAHI CONSTRUCTION"/>
        <s v="MESHWA DEVELOPERS"/>
        <s v="Parishram Construction"/>
        <s v="EAGLE CONSTRUCTION"/>
        <s v="kalubhai bholabhai ladumor"/>
        <s v="Vivek Construction"/>
        <s v="KAIRAV CONSTRUCTION"/>
        <s v="GOPNATHJI CONSTRUCTIONS PRIVATE LIMITED"/>
        <s v="R J BHAMMAR CONSTRUCTION"/>
        <s v="SADGURU CONSTRUCTION"/>
        <s v="TULSI CEMENT PRODUCTS"/>
        <s v="HARPALSINH AMARSINH SARVAIYA"/>
        <s v="SITARAM CONSTRUCTION"/>
        <s v="PRUTHVI CORPORATION"/>
        <s v="Everest Buildcare Private Limited"/>
        <s v="MAHI INFRASTRUCTURE"/>
        <s v="HARI OM CONSTRUCTION CO."/>
        <s v="SHIVAM CONSTRUCTION"/>
        <s v="SHREEJI STONE INDUSTRIES"/>
        <s v="RUDRA CONSTRUCTION COMPANY"/>
        <s v="Harekrishna Construction"/>
        <s v="Bhupatbhai B. Baraiya"/>
        <s v="RAJABHAI NAGJIBHAI ZALA "/>
        <s v="V M ENTERPRISE"/>
        <s v="C.M.CONSTRUCTION"/>
        <s v="SHIVGADH BUILDERS"/>
        <s v="RAJ SECURITY SERVICES"/>
        <s v="SHRI KRISHNA CONSTRUCTION"/>
        <s v="ANSH INFRASTRUCTURE"/>
        <s v="SHREEJI DEVCON (INDIA) PVT. LTD."/>
        <s v="Shri Harikrishna Construction"/>
        <s v="SHRI SAINATH CONSTRUCTION_x000a_COMPANY"/>
        <s v="ALLENTY ENGINEERING AND SERVICES PRIVATE LIMITED"/>
        <s v="Sureshbhai R Chavda"/>
        <s v="SHREE GANGNATH_x000a_CONSTRUCTION"/>
        <s v="Cancelled due to above rate"/>
        <s v="MATI CONSTRUCTION AND_x000a_ENGINEERING"/>
        <s v="Radhe Construction"/>
        <s v="J.K.Construction"/>
        <s v="Shree Khodiyar Construction"/>
        <s v="Pramukh Services"/>
        <s v="JAYDIPBHAI J MAKWANA"/>
        <s v="RUTURAJSINH ARJUNSINH SARVAIYA"/>
        <s v="Kalapi Enterprise"/>
        <s v="AMAR CONSTRUCTION CO."/>
        <s v="SADVICHAR INFRA PROJECTS LLP"/>
        <s v="DEVKI CONSTRUCTION"/>
        <s v="JAY ENTERPRISE"/>
        <s v="parishramconstruction"/>
        <s v="SARVAIYA BROTHERS CONSTRUCTION_x000a_COMPANY"/>
        <s v="MUKHI CONSTRUCTION"/>
        <s v="Siddhi Vinayak Construction"/>
        <s v="A V CONSTRUCTION"/>
        <s v="MILAN INFRA PROJECT"/>
        <s v="Bambhaniya V L"/>
        <s v="DHRUVITKUMAR R KAKADIYA"/>
        <s v="CHIRAG HIMMATBHAI ITALIYA"/>
        <s v="SHIVAM BUILDERS"/>
        <s v="GRVISH INFRASTRUCTURE"/>
        <s v="SQUARE CONSTRUCTION"/>
        <s v="BHAVIK CONSTRUCTION AND MATERIALS SUPPLIER"/>
        <s v="RAMESH BHIMABHAI SURANI"/>
        <s v="KRUSHNADEVSINH S SARVAIYA"/>
        <s v="MARUTI CONSTRUCTION"/>
        <s v="KRUSHNAM ENTERPRISE"/>
        <s v="DISHA TRADING AND CO"/>
        <s v="UGAM CONSTRUCTION CO. "/>
        <s v="Above Tender"/>
        <s v="SHASHVAT INFRASTRUCTURE"/>
        <s v="JIYA ENTERPRISE"/>
        <s v="TUSHAR MAHESHBHAI RATHOD"/>
        <s v="PUSHPRAJ CONSTRACTION &amp; SUPPLIERS"/>
        <s v="vivek construction "/>
        <s v="SWASTIK CONSTRUCTION"/>
        <s v="Om Construction Co"/>
        <s v="KRUNAL KAMLESH BHAI PATEL"/>
        <s v="Same Rate"/>
        <s v="ABHIJITSINH NIRMALSINH_x000a_GOHIL"/>
        <s v="KCC SOSIYA PRIVATE_x000a_LIMITED"/>
        <s v="Suraj Corporation" u="1"/>
        <s v="VC PROJECT &amp; INFRA PVT. LTD." u="1"/>
      </sharedItems>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6-05-14T00:00:00"/>
    </cacheField>
    <cacheField name="Name of Scheme" numFmtId="0">
      <sharedItems containsBlank="1"/>
    </cacheField>
    <cacheField name="Committee" numFmtId="0">
      <sharedItems containsBlank="1"/>
    </cacheField>
    <cacheField name="Committee Date" numFmtId="0">
      <sharedItems containsNonDate="0" containsDate="1" containsString="0" containsBlank="1" minDate="2025-06-01T00:00:00" maxDate="2025-11-02T00:00:00"/>
    </cacheField>
    <cacheField name="Tender Approval Office" numFmtId="0">
      <sharedItems containsBlank="1"/>
    </cacheField>
    <cacheField name="Tender Approval No." numFmtId="0">
      <sharedItems containsBlank="1"/>
    </cacheField>
    <cacheField name="Tender Approval Date" numFmtId="165">
      <sharedItems containsDate="1" containsBlank="1" containsMixedTypes="1" minDate="2025-05-14T00:00:00" maxDate="2026-03-26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8-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165">
      <sharedItems containsNonDate="0" containsDate="1" containsString="0" containsBlank="1" minDate="1900-02-03T00:00:00" maxDate="2027-07-02T00:00:00"/>
    </cacheField>
    <cacheField name="Defect Liability Period (Date)" numFmtId="0">
      <sharedItems containsNonDate="0" containsDate="1" containsString="0" containsBlank="1" minDate="1901-01-24T00:00:00" maxDate="2030-06-11T00:00:00"/>
    </cacheField>
    <cacheField name="Tender Acceptance Letter Worksheet No." numFmtId="0">
      <sharedItems containsString="0" containsBlank="1" containsNumber="1" containsInteger="1" minValue="43" maxValue="1874"/>
    </cacheField>
    <cacheField name="Letter Acceptance Date" numFmtId="165">
      <sharedItems containsDate="1" containsBlank="1" containsMixedTypes="1" minDate="2025-05-20T00:00:00" maxDate="2026-03-28T00:00:00"/>
    </cacheField>
    <cacheField name="Agreement Year" numFmtId="0">
      <sharedItems containsBlank="1"/>
    </cacheField>
    <cacheField name="Agreement No." numFmtId="0">
      <sharedItems containsString="0" containsBlank="1" containsNumber="1" containsInteger="1" minValue="3" maxValue="356"/>
    </cacheField>
    <cacheField name="Agreement Date" numFmtId="0">
      <sharedItems containsDate="1" containsBlank="1" containsMixedTypes="1" minDate="2025-03-27T00:00:00" maxDate="2026-05-20T00:00:00"/>
    </cacheField>
    <cacheField name="Security Deposit Type (BG/ FDR)" numFmtId="0">
      <sharedItems containsBlank="1"/>
    </cacheField>
    <cacheField name="Bank Name of Security Deposit BG/ FDR)" numFmtId="0">
      <sharedItems containsBlank="1"/>
    </cacheField>
    <cacheField name="Security Deposit BG/ FDR Number " numFmtId="49">
      <sharedItems containsBlank="1" containsMixedTypes="1" containsNumber="1" containsInteger="1" minValue="5856182489" maxValue="771613001573"/>
    </cacheField>
    <cacheField name="Security Deposit BG/ FDR Amount" numFmtId="0">
      <sharedItems containsString="0" containsBlank="1" containsNumber="1" containsInteger="1" minValue="10000" maxValue="4747000"/>
    </cacheField>
    <cacheField name="Security Deposit BG/ FDR Date" numFmtId="0">
      <sharedItems containsDate="1" containsBlank="1" containsMixedTypes="1" minDate="2025-02-18T00:00:00" maxDate="2026-05-01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5913030045" maxValue="78049184811"/>
    </cacheField>
    <cacheField name="Additional Performance Security BG/FDR Amount" numFmtId="0">
      <sharedItems containsString="0" containsBlank="1" containsNumber="1" containsInteger="1" minValue="1000" maxValue="1340000"/>
    </cacheField>
    <cacheField name="Additional Performance Security BG/FDR Date" numFmtId="0">
      <sharedItems containsDate="1" containsBlank="1" containsMixedTypes="1" minDate="2025-03-17T00:00:00" maxDate="2026-11-09T00:00:00"/>
    </cacheField>
    <cacheField name="Time Limit Starts From Date" numFmtId="0">
      <sharedItems containsNonDate="0" containsDate="1" containsString="0" containsBlank="1" minDate="2024-08-25T00:00:00" maxDate="2026-06-02T00:00:00"/>
    </cacheField>
    <cacheField name="Work Order Worksheet No." numFmtId="0">
      <sharedItems containsString="0" containsBlank="1" containsNumber="1" containsInteger="1" minValue="30" maxValue="1802"/>
    </cacheField>
    <cacheField name="Work Order  Date" numFmtId="0">
      <sharedItems containsDate="1" containsBlank="1" containsMixedTypes="1" minDate="2025-01-20T00:00:00" maxDate="2026-05-20T00:00:00"/>
    </cacheField>
    <cacheField name="Notice 1 WS No" numFmtId="0">
      <sharedItems containsString="0" containsBlank="1" containsNumber="1" containsInteger="1" minValue="20" maxValue="1784"/>
    </cacheField>
    <cacheField name="Notice 1 Date" numFmtId="164">
      <sharedItems containsNonDate="0" containsDate="1" containsString="0" containsBlank="1" minDate="2025-01-02T00:00:00" maxDate="2026-02-05T00:00:00"/>
    </cacheField>
    <cacheField name="Notice 2 WS No" numFmtId="0">
      <sharedItems containsString="0" containsBlank="1" containsNumber="1" containsInteger="1" minValue="120" maxValue="208"/>
    </cacheField>
    <cacheField name="Notice 2 Date" numFmtId="164">
      <sharedItems containsNonDate="0" containsDate="1" containsString="0" containsBlank="1" minDate="2026-02-02T00:00:00" maxDate="2026-02-05T00:00:00"/>
    </cacheField>
    <cacheField name="Notice 3 WS No" numFmtId="0">
      <sharedItems containsNonDate="0" containsString="0" containsBlank="1"/>
    </cacheField>
    <cacheField name="Notice 3 Date" numFmtId="0">
      <sharedItems containsNonDate="0" containsString="0" containsBlank="1"/>
    </cacheField>
    <cacheField name="Negotiation Letter No." numFmtId="0">
      <sharedItems containsString="0" containsBlank="1" containsNumber="1" containsInteger="1" minValue="291" maxValue="558"/>
    </cacheField>
    <cacheField name="Negotiation Letter Date" numFmtId="165">
      <sharedItems containsNonDate="0" containsDate="1" containsString="0" containsBlank="1" minDate="2026-02-19T00:00:00" maxDate="2026-05-16T00:00:00"/>
    </cacheField>
    <cacheField name="Negotiation Date" numFmtId="165">
      <sharedItems containsNonDate="0" containsDate="1" containsString="0" containsBlank="1" minDate="2026-02-20T00:00:00" maxDate="2026-05-17T00:00:00"/>
    </cacheField>
    <cacheField name="Negotiation Office" numFmtId="0">
      <sharedItems containsBlank="1"/>
    </cacheField>
    <cacheField name="Remarks" numFmtId="0">
      <sharedItems containsBlank="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96B4EB-EC8D-4950-8BA1-74F35E9237F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ender Notice No.">
  <location ref="A1:H20" firstHeaderRow="0" firstDataRow="1" firstDataCol="1"/>
  <pivotFields count="64">
    <pivotField showAll="0"/>
    <pivotField showAll="0"/>
    <pivotField showAll="0"/>
    <pivotField axis="axisRow" showAll="0" sortType="ascending">
      <items count="19">
        <item x="0"/>
        <item x="1"/>
        <item x="2"/>
        <item x="3"/>
        <item x="4"/>
        <item x="5"/>
        <item x="6"/>
        <item x="7"/>
        <item x="8"/>
        <item x="9"/>
        <item x="10"/>
        <item x="11"/>
        <item x="12"/>
        <item x="13"/>
        <item x="14"/>
        <item x="15"/>
        <item x="16"/>
        <item x="17"/>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numFmtId="4" showAll="0"/>
    <pivotField dataField="1"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3"/>
  </rowFields>
  <rowItems count="19">
    <i>
      <x/>
    </i>
    <i>
      <x v="1"/>
    </i>
    <i>
      <x v="2"/>
    </i>
    <i>
      <x v="3"/>
    </i>
    <i>
      <x v="4"/>
    </i>
    <i>
      <x v="5"/>
    </i>
    <i>
      <x v="6"/>
    </i>
    <i>
      <x v="7"/>
    </i>
    <i>
      <x v="8"/>
    </i>
    <i>
      <x v="9"/>
    </i>
    <i>
      <x v="10"/>
    </i>
    <i>
      <x v="11"/>
    </i>
    <i>
      <x v="12"/>
    </i>
    <i>
      <x v="13"/>
    </i>
    <i>
      <x v="14"/>
    </i>
    <i>
      <x v="15"/>
    </i>
    <i>
      <x v="16"/>
    </i>
    <i>
      <x v="17"/>
    </i>
    <i t="grand">
      <x/>
    </i>
  </rowItems>
  <colFields count="1">
    <field x="-2"/>
  </colFields>
  <colItems count="7">
    <i>
      <x/>
    </i>
    <i i="1">
      <x v="1"/>
    </i>
    <i i="2">
      <x v="2"/>
    </i>
    <i i="3">
      <x v="3"/>
    </i>
    <i i="4">
      <x v="4"/>
    </i>
    <i i="5">
      <x v="5"/>
    </i>
    <i i="6">
      <x v="6"/>
    </i>
  </colItems>
  <dataFields count="7">
    <dataField name="Sub Notices" fld="4" subtotal="count" baseField="2" baseItem="0"/>
    <dataField name="Re-Invite" fld="18" subtotal="count" baseField="2" baseItem="0"/>
    <dataField name="Contract Awarded" fld="26" subtotal="count" baseField="0" baseItem="0"/>
    <dataField name="Proposal Sent" fld="30" subtotal="count" baseField="0" baseItem="0"/>
    <dataField name="Tender Approved" fld="34" subtotal="count" baseField="0" baseItem="0"/>
    <dataField name="LoA Sent" fld="43" subtotal="count" baseField="0" baseItem="0"/>
    <dataField name="Work Order Given" fld="59" subtotal="count" baseField="0" baseItem="0"/>
  </dataFields>
  <formats count="25">
    <format dxfId="27">
      <pivotArea type="all" dataOnly="0" outline="0" fieldPosition="0"/>
    </format>
    <format dxfId="26">
      <pivotArea outline="0" collapsedLevelsAreSubtotals="1" fieldPosition="0"/>
    </format>
    <format dxfId="25">
      <pivotArea field="3" type="button" dataOnly="0" labelOnly="1" outline="0" axis="axisRow" fieldPosition="0"/>
    </format>
    <format dxfId="24">
      <pivotArea dataOnly="0" labelOnly="1" fieldPosition="0">
        <references count="1">
          <reference field="3" count="0"/>
        </references>
      </pivotArea>
    </format>
    <format dxfId="23">
      <pivotArea dataOnly="0" labelOnly="1" grandRow="1" outline="0" fieldPosition="0"/>
    </format>
    <format dxfId="22">
      <pivotArea dataOnly="0" labelOnly="1" outline="0" fieldPosition="0">
        <references count="1">
          <reference field="4294967294" count="7">
            <x v="0"/>
            <x v="1"/>
            <x v="2"/>
            <x v="3"/>
            <x v="4"/>
            <x v="5"/>
            <x v="6"/>
          </reference>
        </references>
      </pivotArea>
    </format>
    <format dxfId="21">
      <pivotArea type="all" dataOnly="0" outline="0" fieldPosition="0"/>
    </format>
    <format dxfId="20">
      <pivotArea outline="0" collapsedLevelsAreSubtotals="1" fieldPosition="0"/>
    </format>
    <format dxfId="19">
      <pivotArea field="3" type="button" dataOnly="0" labelOnly="1" outline="0" axis="axisRow" fieldPosition="0"/>
    </format>
    <format dxfId="18">
      <pivotArea dataOnly="0" labelOnly="1" fieldPosition="0">
        <references count="1">
          <reference field="3" count="0"/>
        </references>
      </pivotArea>
    </format>
    <format dxfId="17">
      <pivotArea dataOnly="0" labelOnly="1" grandRow="1" outline="0" fieldPosition="0"/>
    </format>
    <format dxfId="16">
      <pivotArea dataOnly="0" labelOnly="1" outline="0" fieldPosition="0">
        <references count="1">
          <reference field="4294967294" count="7">
            <x v="0"/>
            <x v="1"/>
            <x v="2"/>
            <x v="3"/>
            <x v="4"/>
            <x v="5"/>
            <x v="6"/>
          </reference>
        </references>
      </pivotArea>
    </format>
    <format dxfId="15">
      <pivotArea type="all" dataOnly="0" outline="0" fieldPosition="0"/>
    </format>
    <format dxfId="14">
      <pivotArea outline="0" collapsedLevelsAreSubtotals="1" fieldPosition="0"/>
    </format>
    <format dxfId="13">
      <pivotArea field="3" type="button" dataOnly="0" labelOnly="1" outline="0" axis="axisRow" fieldPosition="0"/>
    </format>
    <format dxfId="12">
      <pivotArea dataOnly="0" labelOnly="1" fieldPosition="0">
        <references count="1">
          <reference field="3" count="0"/>
        </references>
      </pivotArea>
    </format>
    <format dxfId="11">
      <pivotArea dataOnly="0" labelOnly="1" grandRow="1" outline="0" fieldPosition="0"/>
    </format>
    <format dxfId="10">
      <pivotArea dataOnly="0" labelOnly="1" outline="0" fieldPosition="0">
        <references count="1">
          <reference field="4294967294" count="7">
            <x v="0"/>
            <x v="1"/>
            <x v="2"/>
            <x v="3"/>
            <x v="4"/>
            <x v="5"/>
            <x v="6"/>
          </reference>
        </references>
      </pivotArea>
    </format>
    <format dxfId="9">
      <pivotArea field="3" type="button" dataOnly="0" labelOnly="1" outline="0" axis="axisRow" fieldPosition="0"/>
    </format>
    <format dxfId="8">
      <pivotArea dataOnly="0" labelOnly="1" outline="0" fieldPosition="0">
        <references count="1">
          <reference field="4294967294" count="7">
            <x v="0"/>
            <x v="1"/>
            <x v="2"/>
            <x v="3"/>
            <x v="4"/>
            <x v="5"/>
            <x v="6"/>
          </reference>
        </references>
      </pivotArea>
    </format>
    <format dxfId="7">
      <pivotArea field="3" type="button" dataOnly="0" labelOnly="1" outline="0" axis="axisRow" fieldPosition="0"/>
    </format>
    <format dxfId="6">
      <pivotArea dataOnly="0" labelOnly="1" outline="0" fieldPosition="0">
        <references count="1">
          <reference field="4294967294" count="7">
            <x v="0"/>
            <x v="1"/>
            <x v="2"/>
            <x v="3"/>
            <x v="4"/>
            <x v="5"/>
            <x v="6"/>
          </reference>
        </references>
      </pivotArea>
    </format>
    <format dxfId="5">
      <pivotArea grandRow="1" outline="0" collapsedLevelsAreSubtotals="1" fieldPosition="0"/>
    </format>
    <format dxfId="4">
      <pivotArea dataOnly="0" labelOnly="1" grandRow="1" outline="0" fieldPosition="0"/>
    </format>
    <format dxfId="3">
      <pivotArea collapsedLevelsAreSubtotals="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8F37A3-5D49-4B3F-8580-4CFF4B42E5B6}"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128" firstHeaderRow="1" firstDataRow="1" firstDataCol="1"/>
  <pivotFields count="7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sortType="descending">
      <items count="129">
        <item x="11"/>
        <item x="9"/>
        <item x="6"/>
        <item x="16"/>
        <item x="0"/>
        <item x="121"/>
        <item x="1"/>
        <item x="14"/>
        <item x="5"/>
        <item x="12"/>
        <item x="7"/>
        <item x="15"/>
        <item m="1" x="127"/>
        <item x="2"/>
        <item x="3"/>
        <item x="4"/>
        <item x="17"/>
        <item x="18"/>
        <item x="19"/>
        <item x="20"/>
        <item x="21"/>
        <item x="22"/>
        <item x="23"/>
        <item x="24"/>
        <item x="25"/>
        <item x="27"/>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8"/>
        <item x="59"/>
        <item x="60"/>
        <item m="1" x="126"/>
        <item x="62"/>
        <item x="63"/>
        <item x="10"/>
        <item x="64"/>
        <item x="65"/>
        <item x="66"/>
        <item x="67"/>
        <item x="68"/>
        <item x="69"/>
        <item x="70"/>
        <item x="71"/>
        <item x="72"/>
        <item x="73"/>
        <item x="74"/>
        <item x="75"/>
        <item x="77"/>
        <item x="78"/>
        <item x="80"/>
        <item x="81"/>
        <item x="13"/>
        <item x="61"/>
        <item x="76"/>
        <item x="79"/>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2"/>
        <item x="123"/>
        <item x="124"/>
        <item x="12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5"/>
  </rowFields>
  <rowItems count="127">
    <i>
      <x v="2"/>
    </i>
    <i>
      <x v="64"/>
    </i>
    <i>
      <x v="1"/>
    </i>
    <i>
      <x v="6"/>
    </i>
    <i>
      <x v="94"/>
    </i>
    <i>
      <x v="4"/>
    </i>
    <i>
      <x v="5"/>
    </i>
    <i>
      <x v="63"/>
    </i>
    <i>
      <x v="83"/>
    </i>
    <i>
      <x v="81"/>
    </i>
    <i>
      <x v="8"/>
    </i>
    <i>
      <x v="60"/>
    </i>
    <i>
      <x v="9"/>
    </i>
    <i>
      <x v="7"/>
    </i>
    <i>
      <x v="13"/>
    </i>
    <i>
      <x v="59"/>
    </i>
    <i>
      <x v="58"/>
    </i>
    <i>
      <x v="15"/>
    </i>
    <i>
      <x v="93"/>
    </i>
    <i>
      <x v="125"/>
    </i>
    <i>
      <x v="14"/>
    </i>
    <i>
      <x v="127"/>
    </i>
    <i>
      <x v="123"/>
    </i>
    <i>
      <x v="76"/>
    </i>
    <i>
      <x v="124"/>
    </i>
    <i>
      <x v="19"/>
    </i>
    <i>
      <x v="62"/>
    </i>
    <i>
      <x v="78"/>
    </i>
    <i>
      <x v="18"/>
    </i>
    <i>
      <x v="10"/>
    </i>
    <i>
      <x v="82"/>
    </i>
    <i>
      <x v="89"/>
    </i>
    <i>
      <x v="35"/>
    </i>
    <i>
      <x v="65"/>
    </i>
    <i>
      <x v="108"/>
    </i>
    <i>
      <x v="34"/>
    </i>
    <i>
      <x/>
    </i>
    <i>
      <x v="3"/>
    </i>
    <i>
      <x v="95"/>
    </i>
    <i>
      <x v="23"/>
    </i>
    <i>
      <x v="77"/>
    </i>
    <i>
      <x v="69"/>
    </i>
    <i>
      <x v="122"/>
    </i>
    <i>
      <x v="107"/>
    </i>
    <i>
      <x v="20"/>
    </i>
    <i>
      <x v="31"/>
    </i>
    <i>
      <x v="27"/>
    </i>
    <i>
      <x v="11"/>
    </i>
    <i>
      <x v="87"/>
    </i>
    <i>
      <x v="53"/>
    </i>
    <i>
      <x v="46"/>
    </i>
    <i>
      <x v="37"/>
    </i>
    <i>
      <x v="26"/>
    </i>
    <i>
      <x v="49"/>
    </i>
    <i>
      <x v="42"/>
    </i>
    <i>
      <x v="28"/>
    </i>
    <i>
      <x v="25"/>
    </i>
    <i>
      <x v="102"/>
    </i>
    <i>
      <x v="24"/>
    </i>
    <i>
      <x v="88"/>
    </i>
    <i>
      <x v="97"/>
    </i>
    <i>
      <x v="54"/>
    </i>
    <i>
      <x v="40"/>
    </i>
    <i>
      <x v="113"/>
    </i>
    <i>
      <x v="84"/>
    </i>
    <i>
      <x v="109"/>
    </i>
    <i>
      <x v="21"/>
    </i>
    <i>
      <x v="22"/>
    </i>
    <i>
      <x v="67"/>
    </i>
    <i>
      <x v="17"/>
    </i>
    <i>
      <x v="38"/>
    </i>
    <i>
      <x v="39"/>
    </i>
    <i>
      <x v="50"/>
    </i>
    <i>
      <x v="71"/>
    </i>
    <i>
      <x v="29"/>
    </i>
    <i>
      <x v="56"/>
    </i>
    <i>
      <x v="32"/>
    </i>
    <i>
      <x v="92"/>
    </i>
    <i>
      <x v="45"/>
    </i>
    <i>
      <x v="44"/>
    </i>
    <i>
      <x v="74"/>
    </i>
    <i>
      <x v="43"/>
    </i>
    <i>
      <x v="48"/>
    </i>
    <i>
      <x v="30"/>
    </i>
    <i>
      <x v="104"/>
    </i>
    <i>
      <x v="116"/>
    </i>
    <i>
      <x v="111"/>
    </i>
    <i>
      <x v="100"/>
    </i>
    <i>
      <x v="99"/>
    </i>
    <i>
      <x v="103"/>
    </i>
    <i>
      <x v="110"/>
    </i>
    <i>
      <x v="114"/>
    </i>
    <i>
      <x v="85"/>
    </i>
    <i>
      <x v="119"/>
    </i>
    <i>
      <x v="73"/>
    </i>
    <i>
      <x v="52"/>
    </i>
    <i>
      <x v="66"/>
    </i>
    <i>
      <x v="57"/>
    </i>
    <i>
      <x v="72"/>
    </i>
    <i>
      <x v="68"/>
    </i>
    <i>
      <x v="16"/>
    </i>
    <i>
      <x v="79"/>
    </i>
    <i>
      <x v="70"/>
    </i>
    <i>
      <x v="47"/>
    </i>
    <i>
      <x v="106"/>
    </i>
    <i>
      <x v="96"/>
    </i>
    <i>
      <x v="36"/>
    </i>
    <i>
      <x v="98"/>
    </i>
    <i>
      <x v="91"/>
    </i>
    <i>
      <x v="41"/>
    </i>
    <i>
      <x v="33"/>
    </i>
    <i>
      <x v="112"/>
    </i>
    <i>
      <x v="105"/>
    </i>
    <i>
      <x v="120"/>
    </i>
    <i>
      <x v="101"/>
    </i>
    <i>
      <x v="121"/>
    </i>
    <i>
      <x v="51"/>
    </i>
    <i>
      <x v="55"/>
    </i>
    <i>
      <x v="80"/>
    </i>
    <i>
      <x v="126"/>
    </i>
    <i>
      <x v="118"/>
    </i>
    <i>
      <x v="115"/>
    </i>
    <i>
      <x v="86"/>
    </i>
    <i>
      <x v="117"/>
    </i>
    <i>
      <x v="90"/>
    </i>
    <i>
      <x v="75"/>
    </i>
    <i t="grand">
      <x/>
    </i>
  </rowItems>
  <colItems count="1">
    <i/>
  </colItems>
  <dataFields count="1">
    <dataField name="Sum of Contract Price" fld="18" baseField="0" baseItem="0" numFmtId="4"/>
  </dataFields>
  <formats count="3">
    <format dxfId="2">
      <pivotArea collapsedLevelsAreSubtotals="1" fieldPosition="0">
        <references count="1">
          <reference field="25" count="1">
            <x v="0"/>
          </reference>
        </references>
      </pivotArea>
    </format>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A7C1E1-1EAF-4687-A503-14A1D5EB14B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10" firstHeaderRow="1" firstDataRow="1" firstDataCol="1"/>
  <pivotFields count="67">
    <pivotField showAll="0"/>
    <pivotField showAll="0"/>
    <pivotField showAll="0"/>
    <pivotField showAll="0"/>
    <pivotField showAll="0"/>
    <pivotField showAll="0"/>
    <pivotField showAll="0"/>
    <pivotField showAll="0"/>
    <pivotField axis="axisRow" showAll="0" sortType="descending">
      <items count="9">
        <item x="2"/>
        <item x="1"/>
        <item x="3"/>
        <item x="5"/>
        <item x="4"/>
        <item x="0"/>
        <item x="6"/>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9">
    <i>
      <x/>
    </i>
    <i>
      <x v="1"/>
    </i>
    <i>
      <x v="3"/>
    </i>
    <i>
      <x v="2"/>
    </i>
    <i>
      <x v="5"/>
    </i>
    <i>
      <x v="4"/>
    </i>
    <i>
      <x v="6"/>
    </i>
    <i>
      <x v="7"/>
    </i>
    <i t="grand">
      <x/>
    </i>
  </rowItems>
  <colItems count="1">
    <i/>
  </colItems>
  <dataFields count="1">
    <dataField name="Sum of Contract Price"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350" row="3">
    <wetp:webextensionref xmlns:r="http://schemas.openxmlformats.org/officeDocument/2006/relationships" r:id="rId2"/>
  </wetp:taskpane>
  <wetp:taskpane dockstate="right" visibility="0" width="525" row="4">
    <wetp:webextensionref xmlns:r="http://schemas.openxmlformats.org/officeDocument/2006/relationships" r:id="rId3"/>
  </wetp:taskpane>
</wetp:taskpanes>
</file>

<file path=xl/webextensions/webextension1.xml><?xml version="1.0" encoding="utf-8"?>
<we:webextension xmlns:we="http://schemas.microsoft.com/office/webextensions/webextension/2010/11" id="{CA4766D4-1CF5-4871-B507-45299E652012}">
  <we:reference id="wa200005502" version="1.0.0.11" store="en-US" storeType="OMEX"/>
  <we:alternateReferences>
    <we:reference id="wa200005502" version="1.0.0.11" store="wa200005502" storeType="OMEX"/>
  </we:alternateReferences>
  <we:properties>
    <we:property name="docId" value="&quot;Av0kApd-8jfseigTLs2rj&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3F2F455-59B2-4F3B-8AAB-E356C7BCEFF6}">
  <we:reference id="wa200005669" version="2.0.0.0" store="en-IN" storeType="OMEX"/>
  <we:alternateReferences>
    <we:reference id="WA200005669" version="2.0.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FB60C0FA-96AB-45B8-836F-75F2C6FB18BE}">
  <we:reference id="wa104380955" version="4.1.2.1" store="en-US" storeType="OMEX"/>
  <we:alternateReferences>
    <we:reference id="WA104380955" version="4.1.2.1" store=""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1BAB9-A307-44F9-9457-7888F4D9A28B}">
  <dimension ref="A1:E148"/>
  <sheetViews>
    <sheetView workbookViewId="0">
      <pane ySplit="1" topLeftCell="A75" activePane="bottomLeft" state="frozen"/>
      <selection pane="bottomLeft" activeCell="D81" sqref="D81"/>
    </sheetView>
  </sheetViews>
  <sheetFormatPr defaultColWidth="8.90625" defaultRowHeight="14.5"/>
  <cols>
    <col min="1" max="1" width="21.6328125" style="27" bestFit="1" customWidth="1"/>
    <col min="2" max="2" width="28.08984375" style="28" customWidth="1"/>
    <col min="3" max="3" width="33.1796875" style="28" customWidth="1"/>
    <col min="4" max="4" width="12" style="29" bestFit="1" customWidth="1"/>
    <col min="5" max="5" width="16.6328125" style="30" customWidth="1"/>
    <col min="6" max="16384" width="8.90625" style="16"/>
  </cols>
  <sheetData>
    <row r="1" spans="1:5" s="22" customFormat="1" ht="18.5">
      <c r="A1" s="4" t="s">
        <v>1179</v>
      </c>
      <c r="B1" s="6" t="s">
        <v>70</v>
      </c>
      <c r="C1" s="6" t="s">
        <v>69</v>
      </c>
      <c r="D1" s="31" t="s">
        <v>101</v>
      </c>
      <c r="E1" s="32" t="s">
        <v>1180</v>
      </c>
    </row>
    <row r="2" spans="1:5" ht="29">
      <c r="A2" s="4" t="s">
        <v>849</v>
      </c>
      <c r="B2" s="6"/>
      <c r="C2" s="6" t="s">
        <v>923</v>
      </c>
      <c r="D2" s="31">
        <v>9824559999</v>
      </c>
      <c r="E2" s="32"/>
    </row>
    <row r="3" spans="1:5" ht="29">
      <c r="A3" s="4" t="s">
        <v>132</v>
      </c>
      <c r="B3" s="6"/>
      <c r="C3" s="6" t="s">
        <v>167</v>
      </c>
      <c r="D3" s="31">
        <v>8140303377</v>
      </c>
      <c r="E3" s="32"/>
    </row>
    <row r="4" spans="1:5" ht="43.5">
      <c r="A4" s="4" t="s">
        <v>1014</v>
      </c>
      <c r="B4" s="6"/>
      <c r="C4" s="6" t="s">
        <v>1015</v>
      </c>
      <c r="D4" s="31">
        <v>9974717237</v>
      </c>
      <c r="E4" s="32" t="s">
        <v>263</v>
      </c>
    </row>
    <row r="5" spans="1:5" ht="43.5">
      <c r="A5" s="4" t="s">
        <v>981</v>
      </c>
      <c r="B5" s="6"/>
      <c r="C5" s="6" t="s">
        <v>1100</v>
      </c>
      <c r="D5" s="31">
        <v>9925651925</v>
      </c>
      <c r="E5" s="32"/>
    </row>
    <row r="6" spans="1:5" ht="58">
      <c r="A6" s="4" t="s">
        <v>672</v>
      </c>
      <c r="B6" s="6"/>
      <c r="C6" s="6" t="s">
        <v>740</v>
      </c>
      <c r="D6" s="31">
        <v>9824351508</v>
      </c>
      <c r="E6" s="32"/>
    </row>
    <row r="7" spans="1:5" ht="29">
      <c r="A7" s="4" t="s">
        <v>261</v>
      </c>
      <c r="B7" s="6"/>
      <c r="C7" s="6" t="s">
        <v>262</v>
      </c>
      <c r="D7" s="31">
        <v>9638310999</v>
      </c>
      <c r="E7" s="32"/>
    </row>
    <row r="8" spans="1:5" ht="43.5">
      <c r="A8" s="4" t="s">
        <v>242</v>
      </c>
      <c r="B8" s="6" t="s">
        <v>242</v>
      </c>
      <c r="C8" s="6" t="s">
        <v>298</v>
      </c>
      <c r="D8" s="31">
        <v>9898775037</v>
      </c>
      <c r="E8" s="32"/>
    </row>
    <row r="9" spans="1:5" ht="29">
      <c r="A9" s="4" t="s">
        <v>47</v>
      </c>
      <c r="B9" s="6"/>
      <c r="C9" s="6" t="s">
        <v>265</v>
      </c>
      <c r="D9" s="31">
        <v>9106563480</v>
      </c>
      <c r="E9" s="32"/>
    </row>
    <row r="10" spans="1:5" ht="29">
      <c r="A10" s="4" t="s">
        <v>333</v>
      </c>
      <c r="B10" s="6" t="s">
        <v>414</v>
      </c>
      <c r="C10" s="6" t="s">
        <v>482</v>
      </c>
      <c r="D10" s="31">
        <v>9586762457</v>
      </c>
      <c r="E10" s="32"/>
    </row>
    <row r="11" spans="1:5" ht="29">
      <c r="A11" s="4" t="s">
        <v>851</v>
      </c>
      <c r="B11" s="6"/>
      <c r="C11" s="6" t="s">
        <v>922</v>
      </c>
      <c r="D11" s="31">
        <v>9624431801</v>
      </c>
      <c r="E11" s="32"/>
    </row>
    <row r="12" spans="1:5" ht="43.5">
      <c r="A12" s="4" t="s">
        <v>149</v>
      </c>
      <c r="B12" s="6" t="s">
        <v>150</v>
      </c>
      <c r="C12" s="6" t="s">
        <v>393</v>
      </c>
      <c r="D12" s="31"/>
      <c r="E12" s="32"/>
    </row>
    <row r="13" spans="1:5" ht="43.5">
      <c r="A13" s="4" t="s">
        <v>172</v>
      </c>
      <c r="B13" s="6" t="s">
        <v>173</v>
      </c>
      <c r="C13" s="6" t="s">
        <v>394</v>
      </c>
      <c r="D13" s="31">
        <v>9925448406</v>
      </c>
      <c r="E13" s="32"/>
    </row>
    <row r="14" spans="1:5" ht="43.5">
      <c r="A14" s="4" t="s">
        <v>985</v>
      </c>
      <c r="B14" s="6"/>
      <c r="C14" s="6" t="s">
        <v>1081</v>
      </c>
      <c r="D14" s="31">
        <v>9426246273</v>
      </c>
      <c r="E14" s="32"/>
    </row>
    <row r="15" spans="1:5" ht="43.5">
      <c r="A15" s="4" t="s">
        <v>111</v>
      </c>
      <c r="B15" s="6"/>
      <c r="C15" s="6" t="s">
        <v>112</v>
      </c>
      <c r="D15" s="31">
        <v>9428003774</v>
      </c>
      <c r="E15" s="32"/>
    </row>
    <row r="16" spans="1:5" ht="29">
      <c r="A16" s="4" t="s">
        <v>289</v>
      </c>
      <c r="B16" s="6"/>
      <c r="C16" s="6" t="s">
        <v>288</v>
      </c>
      <c r="D16" s="31">
        <v>9824837530</v>
      </c>
      <c r="E16" s="32"/>
    </row>
    <row r="17" spans="1:5" ht="43.5">
      <c r="A17" s="4" t="s">
        <v>48</v>
      </c>
      <c r="B17" s="6" t="s">
        <v>106</v>
      </c>
      <c r="C17" s="6" t="s">
        <v>107</v>
      </c>
      <c r="D17" s="31">
        <v>9825315316</v>
      </c>
      <c r="E17" s="32"/>
    </row>
    <row r="18" spans="1:5" ht="43.5">
      <c r="A18" s="4" t="s">
        <v>13</v>
      </c>
      <c r="B18" s="6" t="s">
        <v>100</v>
      </c>
      <c r="C18" s="6" t="s">
        <v>266</v>
      </c>
      <c r="D18" s="31">
        <v>9925448120</v>
      </c>
      <c r="E18" s="32"/>
    </row>
    <row r="19" spans="1:5" ht="29">
      <c r="A19" s="4" t="s">
        <v>567</v>
      </c>
      <c r="B19" s="6" t="s">
        <v>687</v>
      </c>
      <c r="C19" s="6" t="s">
        <v>688</v>
      </c>
      <c r="D19" s="31">
        <v>9978990613</v>
      </c>
      <c r="E19" s="32"/>
    </row>
    <row r="20" spans="1:5" ht="43.5">
      <c r="A20" s="4" t="s">
        <v>180</v>
      </c>
      <c r="B20" s="6"/>
      <c r="C20" s="6" t="s">
        <v>691</v>
      </c>
      <c r="D20" s="31">
        <v>8980580857</v>
      </c>
      <c r="E20" s="32"/>
    </row>
    <row r="21" spans="1:5" ht="29">
      <c r="A21" s="4" t="s">
        <v>853</v>
      </c>
      <c r="B21" s="6"/>
      <c r="C21" s="6" t="s">
        <v>927</v>
      </c>
      <c r="D21" s="31">
        <v>8000123928</v>
      </c>
      <c r="E21" s="32"/>
    </row>
    <row r="22" spans="1:5" ht="72.5">
      <c r="A22" s="4" t="s">
        <v>334</v>
      </c>
      <c r="B22" s="6" t="s">
        <v>363</v>
      </c>
      <c r="C22" s="6" t="s">
        <v>362</v>
      </c>
      <c r="D22" s="31">
        <v>9824251035</v>
      </c>
      <c r="E22" s="32"/>
    </row>
    <row r="23" spans="1:5" ht="43.5">
      <c r="A23" s="4" t="s">
        <v>20</v>
      </c>
      <c r="B23" s="6"/>
      <c r="C23" s="6" t="s">
        <v>267</v>
      </c>
      <c r="D23" s="31">
        <v>9824438828</v>
      </c>
      <c r="E23" s="32"/>
    </row>
    <row r="24" spans="1:5" ht="29">
      <c r="A24" s="4" t="s">
        <v>248</v>
      </c>
      <c r="B24" s="6" t="s">
        <v>103</v>
      </c>
      <c r="C24" s="6" t="s">
        <v>268</v>
      </c>
      <c r="D24" s="31">
        <v>8780286268</v>
      </c>
      <c r="E24" s="32"/>
    </row>
    <row r="25" spans="1:5" ht="29">
      <c r="A25" s="4" t="s">
        <v>843</v>
      </c>
      <c r="B25" s="6"/>
      <c r="C25" s="6" t="s">
        <v>920</v>
      </c>
      <c r="D25" s="31">
        <v>9428454545</v>
      </c>
      <c r="E25" s="32"/>
    </row>
    <row r="26" spans="1:5" ht="29">
      <c r="A26" s="4" t="s">
        <v>852</v>
      </c>
      <c r="B26" s="6"/>
      <c r="C26" s="6" t="s">
        <v>924</v>
      </c>
      <c r="D26" s="31">
        <v>9879945876</v>
      </c>
      <c r="E26" s="32"/>
    </row>
    <row r="27" spans="1:5" ht="58">
      <c r="A27" s="4" t="s">
        <v>1032</v>
      </c>
      <c r="B27" s="6"/>
      <c r="C27" s="6" t="s">
        <v>1091</v>
      </c>
      <c r="D27" s="31">
        <v>9624775944</v>
      </c>
      <c r="E27" s="32"/>
    </row>
    <row r="28" spans="1:5" ht="43.5">
      <c r="A28" s="4" t="s">
        <v>1141</v>
      </c>
      <c r="B28" s="6"/>
      <c r="C28" s="6" t="s">
        <v>1182</v>
      </c>
      <c r="D28" s="31"/>
      <c r="E28" s="32"/>
    </row>
    <row r="29" spans="1:5" ht="43.5">
      <c r="A29" s="4" t="s">
        <v>349</v>
      </c>
      <c r="B29" s="6" t="s">
        <v>484</v>
      </c>
      <c r="C29" s="6" t="s">
        <v>485</v>
      </c>
      <c r="D29" s="31">
        <v>7405745505</v>
      </c>
      <c r="E29" s="32"/>
    </row>
    <row r="30" spans="1:5" ht="43.5">
      <c r="A30" s="4" t="s">
        <v>949</v>
      </c>
      <c r="B30" s="6"/>
      <c r="C30" s="6" t="s">
        <v>950</v>
      </c>
      <c r="D30" s="31">
        <v>9409511301</v>
      </c>
      <c r="E30" s="32"/>
    </row>
    <row r="31" spans="1:5" ht="43.5">
      <c r="A31" s="4" t="s">
        <v>133</v>
      </c>
      <c r="B31" s="6" t="s">
        <v>134</v>
      </c>
      <c r="C31" s="6" t="s">
        <v>168</v>
      </c>
      <c r="D31" s="31"/>
      <c r="E31" s="32"/>
    </row>
    <row r="32" spans="1:5" ht="29">
      <c r="A32" s="4" t="s">
        <v>343</v>
      </c>
      <c r="B32" s="6" t="s">
        <v>483</v>
      </c>
      <c r="C32" s="6" t="s">
        <v>836</v>
      </c>
      <c r="D32" s="31">
        <v>9408131313</v>
      </c>
      <c r="E32" s="32"/>
    </row>
    <row r="33" spans="1:5" ht="43.5">
      <c r="A33" s="4" t="s">
        <v>138</v>
      </c>
      <c r="B33" s="6" t="s">
        <v>139</v>
      </c>
      <c r="C33" s="6" t="s">
        <v>170</v>
      </c>
      <c r="D33" s="31"/>
      <c r="E33" s="32" t="s">
        <v>263</v>
      </c>
    </row>
    <row r="34" spans="1:5" ht="29">
      <c r="A34" s="4" t="s">
        <v>331</v>
      </c>
      <c r="B34" s="6" t="s">
        <v>113</v>
      </c>
      <c r="C34" s="6" t="s">
        <v>510</v>
      </c>
      <c r="D34" s="31">
        <v>9998577523</v>
      </c>
      <c r="E34" s="32"/>
    </row>
    <row r="35" spans="1:5" ht="43.5">
      <c r="A35" s="4" t="s">
        <v>352</v>
      </c>
      <c r="B35" s="6"/>
      <c r="C35" s="6" t="s">
        <v>358</v>
      </c>
      <c r="D35" s="31">
        <v>9737944545</v>
      </c>
      <c r="E35" s="32" t="s">
        <v>263</v>
      </c>
    </row>
    <row r="36" spans="1:5" ht="43.5">
      <c r="A36" s="4" t="s">
        <v>982</v>
      </c>
      <c r="B36" s="6"/>
      <c r="C36" s="6" t="s">
        <v>998</v>
      </c>
      <c r="D36" s="31">
        <v>8780135063</v>
      </c>
      <c r="E36" s="32"/>
    </row>
    <row r="37" spans="1:5" ht="29">
      <c r="A37" s="4" t="s">
        <v>336</v>
      </c>
      <c r="B37" s="6"/>
      <c r="C37" s="6" t="s">
        <v>511</v>
      </c>
      <c r="D37" s="31">
        <v>7698616111</v>
      </c>
      <c r="E37" s="32"/>
    </row>
    <row r="38" spans="1:5" ht="29">
      <c r="A38" s="4" t="s">
        <v>124</v>
      </c>
      <c r="B38" s="6" t="s">
        <v>125</v>
      </c>
      <c r="C38" s="6" t="s">
        <v>395</v>
      </c>
      <c r="D38" s="31">
        <v>9426844701</v>
      </c>
      <c r="E38" s="32"/>
    </row>
    <row r="39" spans="1:5" ht="43.5">
      <c r="A39" s="4" t="s">
        <v>573</v>
      </c>
      <c r="B39" s="6"/>
      <c r="C39" s="6" t="s">
        <v>692</v>
      </c>
      <c r="D39" s="31">
        <v>9898222122</v>
      </c>
      <c r="E39" s="32"/>
    </row>
    <row r="40" spans="1:5" ht="29">
      <c r="A40" s="4" t="s">
        <v>99</v>
      </c>
      <c r="B40" s="6"/>
      <c r="C40" s="6" t="s">
        <v>162</v>
      </c>
      <c r="D40" s="31">
        <v>7573988808</v>
      </c>
      <c r="E40" s="32"/>
    </row>
    <row r="41" spans="1:5" ht="43.5">
      <c r="A41" s="4" t="s">
        <v>345</v>
      </c>
      <c r="B41" s="6" t="s">
        <v>501</v>
      </c>
      <c r="C41" s="6" t="s">
        <v>554</v>
      </c>
      <c r="D41" s="31">
        <v>9979476626</v>
      </c>
      <c r="E41" s="32"/>
    </row>
    <row r="42" spans="1:5" ht="29">
      <c r="A42" s="4" t="s">
        <v>346</v>
      </c>
      <c r="B42" s="6"/>
      <c r="C42" s="6" t="s">
        <v>507</v>
      </c>
      <c r="D42" s="31">
        <v>9510343132</v>
      </c>
      <c r="E42" s="32"/>
    </row>
    <row r="43" spans="1:5" ht="43.5">
      <c r="A43" s="4" t="s">
        <v>96</v>
      </c>
      <c r="B43" s="6" t="s">
        <v>97</v>
      </c>
      <c r="C43" s="6" t="s">
        <v>396</v>
      </c>
      <c r="D43" s="31"/>
      <c r="E43" s="32"/>
    </row>
    <row r="44" spans="1:5" ht="29">
      <c r="A44" s="4" t="s">
        <v>147</v>
      </c>
      <c r="B44" s="6" t="s">
        <v>148</v>
      </c>
      <c r="C44" s="6" t="s">
        <v>157</v>
      </c>
      <c r="D44" s="31"/>
      <c r="E44" s="32"/>
    </row>
    <row r="45" spans="1:5" ht="29">
      <c r="A45" s="4" t="s">
        <v>770</v>
      </c>
      <c r="B45" s="6" t="s">
        <v>772</v>
      </c>
      <c r="C45" s="6" t="s">
        <v>771</v>
      </c>
      <c r="D45" s="31">
        <v>9824483166</v>
      </c>
      <c r="E45" s="32"/>
    </row>
    <row r="46" spans="1:5" ht="43.5">
      <c r="A46" s="4" t="s">
        <v>340</v>
      </c>
      <c r="B46" s="6" t="s">
        <v>499</v>
      </c>
      <c r="C46" s="6" t="s">
        <v>498</v>
      </c>
      <c r="D46" s="31">
        <v>9574555050</v>
      </c>
      <c r="E46" s="32"/>
    </row>
    <row r="47" spans="1:5" ht="43.5">
      <c r="A47" s="4" t="s">
        <v>844</v>
      </c>
      <c r="B47" s="6"/>
      <c r="C47" s="6" t="s">
        <v>919</v>
      </c>
      <c r="D47" s="31">
        <v>7600355044</v>
      </c>
      <c r="E47" s="32"/>
    </row>
    <row r="48" spans="1:5" ht="29">
      <c r="A48" s="4" t="s">
        <v>212</v>
      </c>
      <c r="B48" s="6" t="s">
        <v>286</v>
      </c>
      <c r="C48" s="6" t="s">
        <v>287</v>
      </c>
      <c r="D48" s="31">
        <v>8320411442</v>
      </c>
      <c r="E48" s="32" t="s">
        <v>264</v>
      </c>
    </row>
    <row r="49" spans="1:5" ht="29">
      <c r="A49" s="4" t="s">
        <v>122</v>
      </c>
      <c r="B49" s="6" t="s">
        <v>123</v>
      </c>
      <c r="C49" s="6" t="s">
        <v>164</v>
      </c>
      <c r="D49" s="31">
        <v>8140411024</v>
      </c>
      <c r="E49" s="32"/>
    </row>
    <row r="50" spans="1:5" ht="43.5">
      <c r="A50" s="4" t="s">
        <v>341</v>
      </c>
      <c r="B50" s="6" t="s">
        <v>492</v>
      </c>
      <c r="C50" s="6" t="s">
        <v>493</v>
      </c>
      <c r="D50" s="31">
        <v>9624751929</v>
      </c>
      <c r="E50" s="32"/>
    </row>
    <row r="51" spans="1:5" ht="43.5">
      <c r="A51" s="4" t="s">
        <v>574</v>
      </c>
      <c r="B51" s="6"/>
      <c r="C51" s="6" t="s">
        <v>937</v>
      </c>
      <c r="D51" s="31">
        <v>2782422236</v>
      </c>
      <c r="E51" s="32"/>
    </row>
    <row r="52" spans="1:5" ht="29">
      <c r="A52" s="4" t="s">
        <v>781</v>
      </c>
      <c r="B52" s="6"/>
      <c r="C52" s="6" t="s">
        <v>806</v>
      </c>
      <c r="D52" s="31">
        <v>9537673951</v>
      </c>
      <c r="E52" s="32"/>
    </row>
    <row r="53" spans="1:5" ht="29">
      <c r="A53" s="4" t="s">
        <v>342</v>
      </c>
      <c r="B53" s="6"/>
      <c r="C53" s="6" t="s">
        <v>361</v>
      </c>
      <c r="D53" s="31">
        <v>9016414291</v>
      </c>
      <c r="E53" s="32"/>
    </row>
    <row r="54" spans="1:5" ht="29">
      <c r="A54" s="4" t="s">
        <v>1079</v>
      </c>
      <c r="B54" s="6"/>
      <c r="C54" s="6" t="s">
        <v>1095</v>
      </c>
      <c r="D54" s="31">
        <v>9924151508</v>
      </c>
      <c r="E54" s="32"/>
    </row>
    <row r="55" spans="1:5" ht="72.5">
      <c r="A55" s="4" t="s">
        <v>119</v>
      </c>
      <c r="B55" s="6" t="s">
        <v>120</v>
      </c>
      <c r="C55" s="6" t="s">
        <v>386</v>
      </c>
      <c r="D55" s="31">
        <v>9016319324</v>
      </c>
      <c r="E55" s="32"/>
    </row>
    <row r="56" spans="1:5" ht="43.5">
      <c r="A56" s="4" t="s">
        <v>829</v>
      </c>
      <c r="B56" s="6"/>
      <c r="C56" s="6" t="s">
        <v>833</v>
      </c>
      <c r="D56" s="31">
        <v>9904952806</v>
      </c>
      <c r="E56" s="32"/>
    </row>
    <row r="57" spans="1:5" ht="29">
      <c r="A57" s="4" t="s">
        <v>350</v>
      </c>
      <c r="B57" s="6"/>
      <c r="C57" s="6" t="s">
        <v>504</v>
      </c>
      <c r="D57" s="31">
        <v>9537101694</v>
      </c>
      <c r="E57" s="32"/>
    </row>
    <row r="58" spans="1:5" ht="29">
      <c r="A58" s="4" t="s">
        <v>145</v>
      </c>
      <c r="B58" s="6"/>
      <c r="C58" s="6" t="s">
        <v>159</v>
      </c>
      <c r="D58" s="31"/>
      <c r="E58" s="32"/>
    </row>
    <row r="59" spans="1:5" ht="43.5">
      <c r="A59" s="4" t="s">
        <v>1000</v>
      </c>
      <c r="B59" s="6" t="s">
        <v>121</v>
      </c>
      <c r="C59" s="6" t="s">
        <v>392</v>
      </c>
      <c r="D59" s="31">
        <v>9925209999</v>
      </c>
      <c r="E59" s="32"/>
    </row>
    <row r="60" spans="1:5" ht="43.5">
      <c r="A60" s="4" t="s">
        <v>344</v>
      </c>
      <c r="B60" s="4" t="s">
        <v>344</v>
      </c>
      <c r="C60" s="6" t="s">
        <v>411</v>
      </c>
      <c r="D60" s="31">
        <v>8905890589</v>
      </c>
      <c r="E60" s="32" t="s">
        <v>263</v>
      </c>
    </row>
    <row r="61" spans="1:5" ht="43.5">
      <c r="A61" s="4" t="s">
        <v>52</v>
      </c>
      <c r="B61" s="6" t="s">
        <v>121</v>
      </c>
      <c r="C61" s="6" t="s">
        <v>392</v>
      </c>
      <c r="D61" s="31">
        <v>9925209999</v>
      </c>
      <c r="E61" s="32"/>
    </row>
    <row r="62" spans="1:5" ht="29">
      <c r="A62" s="4" t="s">
        <v>104</v>
      </c>
      <c r="B62" s="6" t="s">
        <v>105</v>
      </c>
      <c r="C62" s="6" t="s">
        <v>711</v>
      </c>
      <c r="D62" s="31">
        <v>9537167600</v>
      </c>
      <c r="E62" s="32" t="s">
        <v>263</v>
      </c>
    </row>
    <row r="63" spans="1:5" ht="29">
      <c r="A63" s="4" t="s">
        <v>140</v>
      </c>
      <c r="B63" s="6" t="s">
        <v>140</v>
      </c>
      <c r="C63" s="6" t="s">
        <v>397</v>
      </c>
      <c r="D63" s="31"/>
      <c r="E63" s="32"/>
    </row>
    <row r="64" spans="1:5" ht="29">
      <c r="A64" s="4" t="s">
        <v>990</v>
      </c>
      <c r="B64" s="6"/>
      <c r="C64" s="6" t="s">
        <v>1083</v>
      </c>
      <c r="D64" s="31">
        <v>8000686824</v>
      </c>
      <c r="E64" s="32" t="s">
        <v>264</v>
      </c>
    </row>
    <row r="65" spans="1:5">
      <c r="A65" s="4" t="s">
        <v>1031</v>
      </c>
      <c r="B65" s="6"/>
      <c r="C65" s="6" t="s">
        <v>1090</v>
      </c>
      <c r="D65" s="31">
        <v>9328171716</v>
      </c>
      <c r="E65" s="32"/>
    </row>
    <row r="66" spans="1:5" ht="43.5">
      <c r="A66" s="4" t="s">
        <v>142</v>
      </c>
      <c r="B66" s="6"/>
      <c r="C66" s="6" t="s">
        <v>171</v>
      </c>
      <c r="D66" s="31"/>
      <c r="E66" s="32"/>
    </row>
    <row r="67" spans="1:5" ht="29">
      <c r="A67" s="4" t="s">
        <v>116</v>
      </c>
      <c r="B67" s="6"/>
      <c r="C67" s="6" t="s">
        <v>269</v>
      </c>
      <c r="D67" s="31">
        <v>9825038509</v>
      </c>
      <c r="E67" s="32"/>
    </row>
    <row r="68" spans="1:5" ht="29">
      <c r="A68" s="4" t="s">
        <v>325</v>
      </c>
      <c r="B68" s="6"/>
      <c r="C68" s="6" t="s">
        <v>622</v>
      </c>
      <c r="D68" s="31">
        <v>9979347794</v>
      </c>
      <c r="E68" s="32"/>
    </row>
    <row r="69" spans="1:5" ht="29">
      <c r="A69" s="4" t="s">
        <v>1007</v>
      </c>
      <c r="B69" s="6"/>
      <c r="C69" s="6" t="s">
        <v>1084</v>
      </c>
      <c r="D69" s="31">
        <v>9426422306</v>
      </c>
      <c r="E69" s="32"/>
    </row>
    <row r="70" spans="1:5" ht="43.5">
      <c r="A70" s="4" t="s">
        <v>778</v>
      </c>
      <c r="B70" s="6"/>
      <c r="C70" s="6" t="s">
        <v>801</v>
      </c>
      <c r="D70" s="31">
        <v>9429640652</v>
      </c>
      <c r="E70" s="32"/>
    </row>
    <row r="71" spans="1:5" ht="29">
      <c r="A71" s="4" t="s">
        <v>244</v>
      </c>
      <c r="B71" s="6"/>
      <c r="C71" s="6" t="s">
        <v>290</v>
      </c>
      <c r="D71" s="31">
        <v>9099381567</v>
      </c>
      <c r="E71" s="32"/>
    </row>
    <row r="72" spans="1:5" ht="43.5">
      <c r="A72" s="4" t="s">
        <v>347</v>
      </c>
      <c r="B72" s="6" t="s">
        <v>487</v>
      </c>
      <c r="C72" s="6" t="s">
        <v>486</v>
      </c>
      <c r="D72" s="31">
        <v>7069196333</v>
      </c>
      <c r="E72" s="32"/>
    </row>
    <row r="73" spans="1:5" ht="43.5">
      <c r="A73" s="4" t="s">
        <v>117</v>
      </c>
      <c r="B73" s="6" t="s">
        <v>117</v>
      </c>
      <c r="C73" s="6" t="s">
        <v>398</v>
      </c>
      <c r="D73" s="31"/>
      <c r="E73" s="32"/>
    </row>
    <row r="74" spans="1:5" ht="43.5">
      <c r="A74" s="4" t="s">
        <v>850</v>
      </c>
      <c r="B74" s="6"/>
      <c r="C74" s="6" t="s">
        <v>928</v>
      </c>
      <c r="D74" s="31">
        <v>9879668243</v>
      </c>
      <c r="E74" s="32"/>
    </row>
    <row r="75" spans="1:5">
      <c r="A75" s="4" t="s">
        <v>17</v>
      </c>
      <c r="B75" s="6"/>
      <c r="C75" s="6"/>
      <c r="D75" s="31"/>
      <c r="E75" s="32"/>
    </row>
    <row r="76" spans="1:5" ht="29">
      <c r="A76" s="4" t="s">
        <v>534</v>
      </c>
      <c r="B76" s="6" t="s">
        <v>535</v>
      </c>
      <c r="C76" s="6" t="s">
        <v>536</v>
      </c>
      <c r="D76" s="31">
        <v>9712641067</v>
      </c>
      <c r="E76" s="32"/>
    </row>
    <row r="77" spans="1:5" ht="29">
      <c r="A77" s="4" t="s">
        <v>847</v>
      </c>
      <c r="B77" s="6"/>
      <c r="C77" s="6" t="s">
        <v>925</v>
      </c>
      <c r="D77" s="31">
        <v>9099444525</v>
      </c>
      <c r="E77" s="32"/>
    </row>
    <row r="78" spans="1:5" ht="29">
      <c r="A78" s="4" t="s">
        <v>113</v>
      </c>
      <c r="B78" s="6"/>
      <c r="C78" s="6" t="s">
        <v>270</v>
      </c>
      <c r="D78" s="31">
        <v>9998577523</v>
      </c>
      <c r="E78" s="32"/>
    </row>
    <row r="79" spans="1:5" ht="29">
      <c r="A79" s="4" t="s">
        <v>1207</v>
      </c>
      <c r="B79" s="6"/>
      <c r="C79" s="6" t="s">
        <v>1210</v>
      </c>
      <c r="D79" s="31">
        <v>7016870882</v>
      </c>
      <c r="E79" s="32"/>
    </row>
    <row r="80" spans="1:5" ht="43.5">
      <c r="A80" s="4" t="s">
        <v>12</v>
      </c>
      <c r="B80" s="6" t="s">
        <v>71</v>
      </c>
      <c r="C80" s="6" t="s">
        <v>161</v>
      </c>
      <c r="D80" s="31">
        <v>9427511001</v>
      </c>
      <c r="E80" s="32"/>
    </row>
    <row r="81" spans="1:5" ht="29">
      <c r="A81" s="4" t="s">
        <v>1208</v>
      </c>
      <c r="B81" s="6"/>
      <c r="C81" s="6" t="s">
        <v>1217</v>
      </c>
      <c r="D81" s="31">
        <v>9898739098</v>
      </c>
      <c r="E81" s="32"/>
    </row>
    <row r="82" spans="1:5" ht="43.5">
      <c r="A82" s="4" t="s">
        <v>348</v>
      </c>
      <c r="B82" s="6"/>
      <c r="C82" s="6" t="s">
        <v>502</v>
      </c>
      <c r="D82" s="31">
        <v>9427233858</v>
      </c>
      <c r="E82" s="32"/>
    </row>
    <row r="83" spans="1:5" ht="43.5">
      <c r="A83" s="4" t="s">
        <v>845</v>
      </c>
      <c r="B83" s="6"/>
      <c r="C83" s="6" t="s">
        <v>502</v>
      </c>
      <c r="D83" s="31">
        <v>9427233858</v>
      </c>
      <c r="E83" s="32"/>
    </row>
    <row r="84" spans="1:5" ht="43.5">
      <c r="A84" s="4" t="s">
        <v>338</v>
      </c>
      <c r="B84" s="4" t="s">
        <v>491</v>
      </c>
      <c r="C84" s="6" t="s">
        <v>490</v>
      </c>
      <c r="D84" s="31">
        <v>7990934709</v>
      </c>
      <c r="E84" s="32"/>
    </row>
    <row r="85" spans="1:5" ht="29">
      <c r="A85" s="4" t="s">
        <v>780</v>
      </c>
      <c r="B85" s="6"/>
      <c r="C85" s="6" t="s">
        <v>804</v>
      </c>
      <c r="D85" s="31">
        <v>7990014980</v>
      </c>
      <c r="E85" s="32"/>
    </row>
    <row r="86" spans="1:5" ht="43.5">
      <c r="A86" s="4" t="s">
        <v>109</v>
      </c>
      <c r="B86" s="6" t="s">
        <v>110</v>
      </c>
      <c r="C86" s="6" t="s">
        <v>769</v>
      </c>
      <c r="D86" s="31">
        <v>9428857071</v>
      </c>
      <c r="E86" s="32"/>
    </row>
    <row r="87" spans="1:5" ht="43.5">
      <c r="A87" s="4" t="s">
        <v>1102</v>
      </c>
      <c r="B87" s="6"/>
      <c r="C87" s="6" t="s">
        <v>1103</v>
      </c>
      <c r="D87" s="31"/>
      <c r="E87" s="32"/>
    </row>
    <row r="88" spans="1:5" ht="58">
      <c r="A88" s="4" t="s">
        <v>46</v>
      </c>
      <c r="B88" s="6"/>
      <c r="C88" s="6" t="s">
        <v>399</v>
      </c>
      <c r="D88" s="31">
        <v>7984290006</v>
      </c>
      <c r="E88" s="32"/>
    </row>
    <row r="89" spans="1:5" ht="43.5">
      <c r="A89" s="4" t="s">
        <v>51</v>
      </c>
      <c r="B89" s="6"/>
      <c r="C89" s="6" t="s">
        <v>102</v>
      </c>
      <c r="D89" s="31">
        <v>9825220799</v>
      </c>
      <c r="E89" s="32" t="s">
        <v>264</v>
      </c>
    </row>
    <row r="90" spans="1:5" ht="29">
      <c r="A90" s="4" t="s">
        <v>143</v>
      </c>
      <c r="B90" s="6" t="s">
        <v>799</v>
      </c>
      <c r="C90" s="6" t="s">
        <v>800</v>
      </c>
      <c r="D90" s="31">
        <v>7878212124</v>
      </c>
      <c r="E90" s="32" t="s">
        <v>263</v>
      </c>
    </row>
    <row r="91" spans="1:5" ht="29">
      <c r="A91" s="4" t="s">
        <v>143</v>
      </c>
      <c r="B91" s="6"/>
      <c r="C91" s="6" t="s">
        <v>400</v>
      </c>
      <c r="D91" s="31"/>
      <c r="E91" s="32" t="s">
        <v>263</v>
      </c>
    </row>
    <row r="92" spans="1:5" ht="43.5">
      <c r="A92" s="4" t="s">
        <v>569</v>
      </c>
      <c r="B92" s="6"/>
      <c r="C92" s="6" t="s">
        <v>680</v>
      </c>
      <c r="D92" s="31">
        <v>7984929295</v>
      </c>
      <c r="E92" s="32" t="s">
        <v>263</v>
      </c>
    </row>
    <row r="93" spans="1:5" ht="29">
      <c r="A93" s="4" t="s">
        <v>566</v>
      </c>
      <c r="B93" s="6"/>
      <c r="C93" s="6" t="s">
        <v>682</v>
      </c>
      <c r="D93" s="31">
        <v>9825149802</v>
      </c>
      <c r="E93" s="32" t="s">
        <v>263</v>
      </c>
    </row>
    <row r="94" spans="1:5" ht="29">
      <c r="A94" s="4" t="s">
        <v>987</v>
      </c>
      <c r="B94" s="6"/>
      <c r="C94" s="6" t="s">
        <v>1082</v>
      </c>
      <c r="D94" s="31">
        <v>7046360922</v>
      </c>
      <c r="E94" s="32" t="s">
        <v>263</v>
      </c>
    </row>
    <row r="95" spans="1:5" ht="29">
      <c r="A95" s="4" t="s">
        <v>339</v>
      </c>
      <c r="B95" s="6" t="s">
        <v>532</v>
      </c>
      <c r="C95" s="6" t="s">
        <v>690</v>
      </c>
      <c r="D95" s="31">
        <v>9727220227</v>
      </c>
      <c r="E95" s="32" t="s">
        <v>263</v>
      </c>
    </row>
    <row r="96" spans="1:5" ht="29">
      <c r="A96" s="4" t="s">
        <v>561</v>
      </c>
      <c r="B96" s="6"/>
      <c r="C96" s="6" t="s">
        <v>683</v>
      </c>
      <c r="D96" s="31"/>
      <c r="E96" s="32" t="s">
        <v>263</v>
      </c>
    </row>
    <row r="97" spans="1:5" ht="29">
      <c r="A97" s="4" t="s">
        <v>782</v>
      </c>
      <c r="B97" s="6"/>
      <c r="C97" s="6" t="s">
        <v>805</v>
      </c>
      <c r="D97" s="31">
        <v>9106055314</v>
      </c>
      <c r="E97" s="32" t="s">
        <v>263</v>
      </c>
    </row>
    <row r="98" spans="1:5" ht="43.5">
      <c r="A98" s="4" t="s">
        <v>335</v>
      </c>
      <c r="B98" s="6" t="s">
        <v>509</v>
      </c>
      <c r="C98" s="6" t="s">
        <v>508</v>
      </c>
      <c r="D98" s="31">
        <v>9909950650</v>
      </c>
      <c r="E98" s="32" t="s">
        <v>359</v>
      </c>
    </row>
    <row r="99" spans="1:5" ht="29">
      <c r="A99" s="4" t="s">
        <v>146</v>
      </c>
      <c r="B99" s="6"/>
      <c r="C99" s="6" t="s">
        <v>158</v>
      </c>
      <c r="D99" s="31"/>
      <c r="E99" s="32" t="s">
        <v>264</v>
      </c>
    </row>
    <row r="100" spans="1:5" ht="29">
      <c r="A100" s="4" t="s">
        <v>128</v>
      </c>
      <c r="B100" s="6" t="s">
        <v>141</v>
      </c>
      <c r="C100" s="6" t="s">
        <v>166</v>
      </c>
      <c r="D100" s="31">
        <v>9510897273</v>
      </c>
      <c r="E100" s="32" t="s">
        <v>263</v>
      </c>
    </row>
    <row r="101" spans="1:5" ht="29">
      <c r="A101" s="4" t="s">
        <v>842</v>
      </c>
      <c r="B101" s="6"/>
      <c r="C101" s="6" t="s">
        <v>918</v>
      </c>
      <c r="D101" s="31">
        <v>8999898996</v>
      </c>
      <c r="E101" s="32" t="s">
        <v>263</v>
      </c>
    </row>
    <row r="102" spans="1:5" ht="43.5">
      <c r="A102" s="4" t="s">
        <v>114</v>
      </c>
      <c r="B102" s="6"/>
      <c r="C102" s="6" t="s">
        <v>115</v>
      </c>
      <c r="D102" s="31"/>
      <c r="E102" s="32"/>
    </row>
    <row r="103" spans="1:5" ht="29">
      <c r="A103" s="4" t="s">
        <v>178</v>
      </c>
      <c r="B103" s="6"/>
      <c r="C103" s="6" t="s">
        <v>280</v>
      </c>
      <c r="D103" s="31">
        <v>7600749191</v>
      </c>
      <c r="E103" s="32"/>
    </row>
    <row r="104" spans="1:5" ht="29">
      <c r="A104" s="4" t="s">
        <v>237</v>
      </c>
      <c r="B104" s="6" t="s">
        <v>237</v>
      </c>
      <c r="C104" s="6" t="s">
        <v>297</v>
      </c>
      <c r="D104" s="31">
        <v>8866209297</v>
      </c>
      <c r="E104" s="32"/>
    </row>
    <row r="105" spans="1:5" ht="43.5">
      <c r="A105" s="4" t="s">
        <v>152</v>
      </c>
      <c r="B105" s="6" t="s">
        <v>153</v>
      </c>
      <c r="C105" s="6" t="s">
        <v>156</v>
      </c>
      <c r="D105" s="31"/>
      <c r="E105" s="32"/>
    </row>
    <row r="106" spans="1:5" ht="43.5">
      <c r="A106" s="4" t="s">
        <v>846</v>
      </c>
      <c r="B106" s="6"/>
      <c r="C106" s="6" t="s">
        <v>926</v>
      </c>
      <c r="D106" s="31">
        <v>9870021313</v>
      </c>
      <c r="E106" s="32"/>
    </row>
    <row r="107" spans="1:5" ht="43.5">
      <c r="A107" s="4" t="s">
        <v>633</v>
      </c>
      <c r="B107" s="6"/>
      <c r="C107" s="6" t="s">
        <v>503</v>
      </c>
      <c r="D107" s="31"/>
      <c r="E107" s="32"/>
    </row>
    <row r="108" spans="1:5" ht="43.5">
      <c r="A108" s="4" t="s">
        <v>1078</v>
      </c>
      <c r="B108" s="6"/>
      <c r="C108" s="6" t="s">
        <v>1094</v>
      </c>
      <c r="D108" s="31">
        <v>9998051949</v>
      </c>
      <c r="E108" s="32"/>
    </row>
    <row r="109" spans="1:5" ht="43.5">
      <c r="A109" s="4" t="s">
        <v>154</v>
      </c>
      <c r="B109" s="6" t="s">
        <v>174</v>
      </c>
      <c r="C109" s="6" t="s">
        <v>155</v>
      </c>
      <c r="D109" s="31"/>
      <c r="E109" s="32"/>
    </row>
    <row r="110" spans="1:5" ht="43.5">
      <c r="A110" s="4" t="s">
        <v>129</v>
      </c>
      <c r="B110" s="6" t="s">
        <v>130</v>
      </c>
      <c r="C110" s="6" t="s">
        <v>401</v>
      </c>
      <c r="D110" s="31"/>
      <c r="E110" s="32" t="s">
        <v>263</v>
      </c>
    </row>
    <row r="111" spans="1:5" ht="29">
      <c r="A111" s="4" t="s">
        <v>144</v>
      </c>
      <c r="B111" s="6"/>
      <c r="C111" s="6" t="s">
        <v>160</v>
      </c>
      <c r="D111" s="31"/>
      <c r="E111" s="32" t="s">
        <v>263</v>
      </c>
    </row>
    <row r="112" spans="1:5" ht="29">
      <c r="A112" s="4" t="s">
        <v>229</v>
      </c>
      <c r="B112" s="6" t="s">
        <v>293</v>
      </c>
      <c r="C112" s="6" t="s">
        <v>292</v>
      </c>
      <c r="D112" s="31">
        <v>9828109453</v>
      </c>
      <c r="E112" s="32" t="s">
        <v>264</v>
      </c>
    </row>
    <row r="113" spans="1:5" ht="43.5">
      <c r="A113" s="4" t="s">
        <v>16</v>
      </c>
      <c r="B113" s="6"/>
      <c r="C113" s="6" t="s">
        <v>271</v>
      </c>
      <c r="D113" s="31">
        <v>9925888787</v>
      </c>
      <c r="E113" s="32" t="s">
        <v>263</v>
      </c>
    </row>
    <row r="114" spans="1:5" ht="29">
      <c r="A114" s="4" t="s">
        <v>1003</v>
      </c>
      <c r="B114" s="6"/>
      <c r="C114" s="6" t="s">
        <v>1004</v>
      </c>
      <c r="D114" s="31">
        <v>8140888999</v>
      </c>
      <c r="E114" s="32" t="s">
        <v>263</v>
      </c>
    </row>
    <row r="115" spans="1:5" ht="29">
      <c r="A115" s="4" t="s">
        <v>564</v>
      </c>
      <c r="B115" s="6" t="s">
        <v>685</v>
      </c>
      <c r="C115" s="6" t="s">
        <v>686</v>
      </c>
      <c r="D115" s="31">
        <v>7405505555</v>
      </c>
      <c r="E115" s="32" t="s">
        <v>263</v>
      </c>
    </row>
    <row r="116" spans="1:5" ht="29">
      <c r="A116" s="4" t="s">
        <v>568</v>
      </c>
      <c r="B116" s="6" t="s">
        <v>681</v>
      </c>
      <c r="C116" s="6" t="s">
        <v>731</v>
      </c>
      <c r="D116" s="31">
        <v>9426959999</v>
      </c>
      <c r="E116" s="32" t="s">
        <v>263</v>
      </c>
    </row>
    <row r="117" spans="1:5" ht="29">
      <c r="A117" s="4" t="s">
        <v>779</v>
      </c>
      <c r="B117" s="6" t="s">
        <v>802</v>
      </c>
      <c r="C117" s="6" t="s">
        <v>803</v>
      </c>
      <c r="D117" s="31">
        <v>9773408044</v>
      </c>
      <c r="E117" s="32" t="s">
        <v>263</v>
      </c>
    </row>
    <row r="118" spans="1:5" ht="72.5">
      <c r="A118" s="4" t="s">
        <v>939</v>
      </c>
      <c r="B118" s="6"/>
      <c r="C118" s="6" t="s">
        <v>940</v>
      </c>
      <c r="D118" s="31">
        <v>9825133885</v>
      </c>
      <c r="E118" s="32"/>
    </row>
    <row r="119" spans="1:5" ht="29">
      <c r="A119" s="4" t="s">
        <v>560</v>
      </c>
      <c r="B119" s="6"/>
      <c r="C119" s="6" t="s">
        <v>684</v>
      </c>
      <c r="D119" s="31">
        <v>9825325757</v>
      </c>
      <c r="E119" s="32"/>
    </row>
    <row r="120" spans="1:5" ht="43.5">
      <c r="A120" s="4" t="s">
        <v>673</v>
      </c>
      <c r="B120" s="6"/>
      <c r="C120" s="6" t="s">
        <v>709</v>
      </c>
      <c r="D120" s="31">
        <v>9924545558</v>
      </c>
      <c r="E120" s="32"/>
    </row>
    <row r="121" spans="1:5" ht="43.5">
      <c r="A121" s="4" t="s">
        <v>118</v>
      </c>
      <c r="B121" s="6"/>
      <c r="C121" s="6" t="s">
        <v>163</v>
      </c>
      <c r="D121" s="31">
        <v>9722223237</v>
      </c>
      <c r="E121" s="32"/>
    </row>
    <row r="122" spans="1:5" ht="43.5">
      <c r="A122" s="4" t="s">
        <v>674</v>
      </c>
      <c r="B122" s="6"/>
      <c r="C122" s="6" t="s">
        <v>747</v>
      </c>
      <c r="D122" s="31">
        <v>9913252525</v>
      </c>
      <c r="E122" s="32" t="s">
        <v>263</v>
      </c>
    </row>
    <row r="123" spans="1:5" ht="29">
      <c r="A123" s="4" t="s">
        <v>330</v>
      </c>
      <c r="B123" s="6" t="s">
        <v>495</v>
      </c>
      <c r="C123" s="6" t="s">
        <v>494</v>
      </c>
      <c r="D123" s="31">
        <v>9825445121</v>
      </c>
      <c r="E123" s="32"/>
    </row>
    <row r="124" spans="1:5" ht="58">
      <c r="A124" s="4" t="s">
        <v>126</v>
      </c>
      <c r="B124" s="6"/>
      <c r="C124" s="6" t="s">
        <v>272</v>
      </c>
      <c r="D124" s="31">
        <v>9712887296</v>
      </c>
      <c r="E124" s="32"/>
    </row>
    <row r="125" spans="1:5" ht="43.5">
      <c r="A125" s="4" t="s">
        <v>43</v>
      </c>
      <c r="B125" s="6"/>
      <c r="C125" s="6" t="s">
        <v>273</v>
      </c>
      <c r="D125" s="31">
        <v>9426450843</v>
      </c>
      <c r="E125" s="32"/>
    </row>
    <row r="126" spans="1:5" ht="43.5">
      <c r="A126" s="4" t="s">
        <v>848</v>
      </c>
      <c r="B126" s="6"/>
      <c r="C126" s="6" t="s">
        <v>916</v>
      </c>
      <c r="D126" s="31">
        <v>7069881399</v>
      </c>
      <c r="E126" s="32"/>
    </row>
    <row r="127" spans="1:5" ht="29">
      <c r="A127" s="4" t="s">
        <v>136</v>
      </c>
      <c r="B127" s="6" t="s">
        <v>137</v>
      </c>
      <c r="C127" s="6" t="s">
        <v>169</v>
      </c>
      <c r="D127" s="31">
        <v>9328564566</v>
      </c>
      <c r="E127" s="32" t="s">
        <v>500</v>
      </c>
    </row>
    <row r="128" spans="1:5" ht="43.5">
      <c r="A128" s="4" t="s">
        <v>4</v>
      </c>
      <c r="B128" s="6" t="s">
        <v>98</v>
      </c>
      <c r="C128" s="6" t="s">
        <v>274</v>
      </c>
      <c r="D128" s="31">
        <v>9377666263</v>
      </c>
      <c r="E128" s="32" t="s">
        <v>264</v>
      </c>
    </row>
    <row r="129" spans="1:5" ht="58">
      <c r="A129" s="4" t="s">
        <v>983</v>
      </c>
      <c r="B129" s="6"/>
      <c r="C129" s="6" t="s">
        <v>994</v>
      </c>
      <c r="D129" s="31">
        <v>9722525712</v>
      </c>
      <c r="E129" s="32" t="s">
        <v>263</v>
      </c>
    </row>
    <row r="130" spans="1:5" ht="43.5">
      <c r="A130" s="4" t="s">
        <v>323</v>
      </c>
      <c r="B130" s="6"/>
      <c r="C130" s="6" t="s">
        <v>641</v>
      </c>
      <c r="D130" s="31">
        <v>9409511301</v>
      </c>
      <c r="E130" s="32"/>
    </row>
    <row r="131" spans="1:5" ht="43.5">
      <c r="A131" s="4" t="s">
        <v>676</v>
      </c>
      <c r="B131" s="6"/>
      <c r="C131" s="6" t="s">
        <v>708</v>
      </c>
      <c r="D131" s="31">
        <v>9979905282</v>
      </c>
      <c r="E131" s="32" t="s">
        <v>263</v>
      </c>
    </row>
    <row r="132" spans="1:5" ht="29">
      <c r="A132" s="4" t="s">
        <v>337</v>
      </c>
      <c r="B132" s="6" t="s">
        <v>488</v>
      </c>
      <c r="C132" s="6" t="s">
        <v>489</v>
      </c>
      <c r="D132" s="31">
        <v>9727987777</v>
      </c>
      <c r="E132" s="32" t="s">
        <v>263</v>
      </c>
    </row>
    <row r="133" spans="1:5" ht="43.5">
      <c r="A133" s="4" t="s">
        <v>353</v>
      </c>
      <c r="B133" s="6" t="s">
        <v>356</v>
      </c>
      <c r="C133" s="6" t="s">
        <v>357</v>
      </c>
      <c r="D133" s="31">
        <v>9662631888</v>
      </c>
      <c r="E133" s="32" t="s">
        <v>263</v>
      </c>
    </row>
    <row r="134" spans="1:5" ht="43.5">
      <c r="A134" s="4" t="s">
        <v>1080</v>
      </c>
      <c r="B134" s="6"/>
      <c r="C134" s="6" t="s">
        <v>1096</v>
      </c>
      <c r="D134" s="31">
        <v>8460502992</v>
      </c>
      <c r="E134" s="32" t="s">
        <v>263</v>
      </c>
    </row>
    <row r="135" spans="1:5" ht="43.5">
      <c r="A135" s="4" t="s">
        <v>231</v>
      </c>
      <c r="B135" s="6" t="s">
        <v>295</v>
      </c>
      <c r="C135" s="6" t="s">
        <v>294</v>
      </c>
      <c r="D135" s="31">
        <v>9824226646</v>
      </c>
      <c r="E135" s="32"/>
    </row>
    <row r="136" spans="1:5" ht="29">
      <c r="A136" s="4" t="s">
        <v>1033</v>
      </c>
      <c r="B136" s="6"/>
      <c r="C136" s="6" t="s">
        <v>1092</v>
      </c>
      <c r="D136" s="31">
        <v>9510897273</v>
      </c>
      <c r="E136" s="32"/>
    </row>
    <row r="137" spans="1:5" ht="29">
      <c r="A137" s="4" t="s">
        <v>260</v>
      </c>
      <c r="B137" s="6"/>
      <c r="C137" s="6" t="s">
        <v>1006</v>
      </c>
      <c r="D137" s="31">
        <v>9825209897</v>
      </c>
      <c r="E137" s="32"/>
    </row>
    <row r="138" spans="1:5" ht="43.5">
      <c r="A138" s="4" t="s">
        <v>14</v>
      </c>
      <c r="B138" s="6" t="s">
        <v>151</v>
      </c>
      <c r="C138" s="6" t="s">
        <v>402</v>
      </c>
      <c r="D138" s="31">
        <v>9824489393</v>
      </c>
      <c r="E138" s="32" t="s">
        <v>263</v>
      </c>
    </row>
    <row r="139" spans="1:5" ht="29">
      <c r="A139" s="4" t="s">
        <v>550</v>
      </c>
      <c r="B139" s="6"/>
      <c r="C139" s="6" t="s">
        <v>553</v>
      </c>
      <c r="D139" s="31">
        <v>9723355852</v>
      </c>
      <c r="E139" s="32"/>
    </row>
    <row r="140" spans="1:5" ht="43.5">
      <c r="A140" s="4" t="s">
        <v>15</v>
      </c>
      <c r="B140" s="6" t="s">
        <v>291</v>
      </c>
      <c r="C140" s="6" t="s">
        <v>94</v>
      </c>
      <c r="D140" s="31">
        <v>6352432868</v>
      </c>
      <c r="E140" s="32"/>
    </row>
    <row r="141" spans="1:5" ht="29">
      <c r="A141" s="4" t="s">
        <v>135</v>
      </c>
      <c r="B141" s="6"/>
      <c r="C141" s="6" t="s">
        <v>275</v>
      </c>
      <c r="D141" s="31">
        <v>9427110611</v>
      </c>
      <c r="E141" s="32" t="s">
        <v>263</v>
      </c>
    </row>
    <row r="142" spans="1:5" ht="43.5">
      <c r="A142" s="4" t="s">
        <v>332</v>
      </c>
      <c r="B142" s="6" t="s">
        <v>496</v>
      </c>
      <c r="C142" s="6" t="s">
        <v>360</v>
      </c>
      <c r="D142" s="31">
        <v>9067752267</v>
      </c>
      <c r="E142" s="32" t="s">
        <v>264</v>
      </c>
    </row>
    <row r="143" spans="1:5" ht="29">
      <c r="A143" s="4" t="s">
        <v>127</v>
      </c>
      <c r="B143" s="6" t="s">
        <v>497</v>
      </c>
      <c r="C143" s="6" t="s">
        <v>165</v>
      </c>
      <c r="D143" s="31">
        <v>8200557028</v>
      </c>
      <c r="E143" s="32"/>
    </row>
    <row r="144" spans="1:5" ht="43.5">
      <c r="A144" s="4" t="s">
        <v>179</v>
      </c>
      <c r="B144" s="6" t="s">
        <v>108</v>
      </c>
      <c r="C144" s="6" t="s">
        <v>276</v>
      </c>
      <c r="D144" s="31">
        <v>9375779757</v>
      </c>
      <c r="E144" s="32" t="s">
        <v>263</v>
      </c>
    </row>
    <row r="145" spans="1:5" ht="43.5">
      <c r="A145" s="4" t="s">
        <v>188</v>
      </c>
      <c r="B145" s="6"/>
      <c r="C145" s="6" t="s">
        <v>277</v>
      </c>
      <c r="D145" s="31">
        <v>7777978777</v>
      </c>
      <c r="E145" s="32"/>
    </row>
    <row r="146" spans="1:5" ht="29">
      <c r="A146" s="4" t="s">
        <v>53</v>
      </c>
      <c r="B146" s="6"/>
      <c r="C146" s="6" t="s">
        <v>278</v>
      </c>
      <c r="D146" s="31">
        <v>8849179437</v>
      </c>
      <c r="E146" s="32"/>
    </row>
    <row r="147" spans="1:5" ht="29">
      <c r="A147" s="4" t="s">
        <v>1137</v>
      </c>
      <c r="B147" s="6"/>
      <c r="C147" s="6" t="s">
        <v>403</v>
      </c>
      <c r="D147" s="31">
        <v>9825755273</v>
      </c>
      <c r="E147" s="32"/>
    </row>
    <row r="148" spans="1:5" ht="29">
      <c r="A148" s="4" t="s">
        <v>131</v>
      </c>
      <c r="B148" s="6"/>
      <c r="C148" s="6" t="s">
        <v>404</v>
      </c>
      <c r="D148" s="31"/>
      <c r="E148" s="32"/>
    </row>
  </sheetData>
  <autoFilter ref="A1:D1" xr:uid="{3241BAB9-A307-44F9-9457-7888F4D9A28B}">
    <sortState xmlns:xlrd2="http://schemas.microsoft.com/office/spreadsheetml/2017/richdata2" ref="A2:D145">
      <sortCondition ref="A1"/>
    </sortState>
  </autoFilter>
  <sortState xmlns:xlrd2="http://schemas.microsoft.com/office/spreadsheetml/2017/richdata2" ref="A2:E101">
    <sortCondition ref="A2:A10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627A7-C3E0-4ABD-8411-C9A63B3AA281}">
  <sheetPr codeName="Sheet3">
    <pageSetUpPr fitToPage="1"/>
  </sheetPr>
  <dimension ref="A1:AL473"/>
  <sheetViews>
    <sheetView tabSelected="1" zoomScale="80" zoomScaleNormal="80" workbookViewId="0">
      <pane xSplit="4" ySplit="1" topLeftCell="E457" activePane="bottomRight" state="frozen"/>
      <selection pane="topRight" activeCell="H1" sqref="H1"/>
      <selection pane="bottomLeft" activeCell="A2" sqref="A2"/>
      <selection pane="bottomRight" activeCell="D472" sqref="D472"/>
    </sheetView>
  </sheetViews>
  <sheetFormatPr defaultColWidth="9.08984375" defaultRowHeight="14.5"/>
  <cols>
    <col min="1" max="1" width="8.08984375" style="1" customWidth="1"/>
    <col min="2" max="2" width="7.1796875" style="1" customWidth="1"/>
    <col min="3" max="3" width="7.90625" style="1" customWidth="1"/>
    <col min="4" max="4" width="41.08984375" style="2" customWidth="1"/>
    <col min="5" max="5" width="11.54296875" style="1" customWidth="1"/>
    <col min="6" max="6" width="13" style="1" customWidth="1"/>
    <col min="7" max="7" width="8.6328125" style="1" customWidth="1"/>
    <col min="8" max="8" width="14.453125" style="4" customWidth="1"/>
    <col min="9" max="9" width="13.1796875" style="1" customWidth="1"/>
    <col min="10" max="10" width="14.453125" style="5" customWidth="1"/>
    <col min="11" max="11" width="16.453125" style="5" customWidth="1"/>
    <col min="12" max="12" width="17.54296875" style="5" customWidth="1"/>
    <col min="13" max="13" width="21.54296875" style="7" customWidth="1"/>
    <col min="14" max="14" width="18" style="7" customWidth="1"/>
    <col min="15" max="15" width="12.453125" style="1" customWidth="1"/>
    <col min="16" max="16" width="18.453125" style="1" customWidth="1"/>
    <col min="17" max="17" width="25" style="4" customWidth="1"/>
    <col min="18" max="18" width="12.36328125" style="2" customWidth="1"/>
    <col min="19" max="19" width="18.453125" style="2" customWidth="1"/>
    <col min="20" max="20" width="13.54296875" style="14" customWidth="1"/>
    <col min="21" max="21" width="16" style="1" customWidth="1"/>
    <col min="22" max="22" width="13.54296875" style="1" customWidth="1"/>
    <col min="23" max="23" width="13.36328125" style="14" customWidth="1"/>
    <col min="24" max="24" width="11.54296875" style="1" customWidth="1"/>
    <col min="25" max="25" width="11.1796875" style="1" customWidth="1"/>
    <col min="26" max="28" width="11.08984375" style="1" customWidth="1"/>
    <col min="29" max="29" width="20.54296875" style="33" customWidth="1"/>
    <col min="30" max="30" width="11.08984375" style="3" customWidth="1"/>
    <col min="31" max="31" width="16.54296875" style="1" customWidth="1"/>
    <col min="32" max="32" width="17.36328125" style="1" customWidth="1"/>
    <col min="33" max="33" width="12.36328125" style="1" customWidth="1"/>
    <col min="34" max="34" width="19.54296875" style="33" customWidth="1"/>
    <col min="35" max="35" width="11.08984375" style="3" customWidth="1"/>
    <col min="36" max="36" width="15.54296875" style="1" customWidth="1"/>
    <col min="37" max="37" width="11.08984375" style="1" customWidth="1"/>
    <col min="38" max="38" width="12.1796875" style="14" customWidth="1"/>
    <col min="39" max="48" width="9.08984375" style="1" customWidth="1"/>
    <col min="49" max="16384" width="9.08984375" style="1"/>
  </cols>
  <sheetData>
    <row r="1" spans="1:38" s="14" customFormat="1" ht="61.5" customHeight="1">
      <c r="A1" s="44" t="s">
        <v>22</v>
      </c>
      <c r="B1" s="44" t="s">
        <v>1222</v>
      </c>
      <c r="C1" s="44" t="s">
        <v>1223</v>
      </c>
      <c r="D1" s="14" t="s">
        <v>1229</v>
      </c>
      <c r="E1" s="14" t="s">
        <v>41</v>
      </c>
      <c r="F1" s="14" t="s">
        <v>6</v>
      </c>
      <c r="G1" s="14" t="s">
        <v>18</v>
      </c>
      <c r="H1" s="14" t="s">
        <v>5</v>
      </c>
      <c r="I1" s="14" t="s">
        <v>1228</v>
      </c>
      <c r="J1" s="14" t="s">
        <v>55</v>
      </c>
      <c r="K1" s="14" t="s">
        <v>24</v>
      </c>
      <c r="L1" s="14" t="s">
        <v>25</v>
      </c>
      <c r="M1" s="44" t="s">
        <v>1224</v>
      </c>
      <c r="N1" s="14" t="s">
        <v>7</v>
      </c>
      <c r="O1" s="14" t="s">
        <v>73</v>
      </c>
      <c r="P1" s="14" t="s">
        <v>74</v>
      </c>
      <c r="Q1" s="27" t="s">
        <v>1225</v>
      </c>
      <c r="R1" s="14" t="s">
        <v>56</v>
      </c>
      <c r="S1" s="14" t="s">
        <v>1226</v>
      </c>
      <c r="T1" s="14" t="s">
        <v>27</v>
      </c>
      <c r="U1" s="14" t="s">
        <v>21</v>
      </c>
      <c r="V1" s="45" t="s">
        <v>30</v>
      </c>
      <c r="W1" s="45" t="s">
        <v>1227</v>
      </c>
      <c r="X1" s="14" t="s">
        <v>49</v>
      </c>
      <c r="Y1" s="14" t="s">
        <v>8</v>
      </c>
      <c r="Z1" s="14" t="s">
        <v>31</v>
      </c>
      <c r="AA1" s="14" t="s">
        <v>32</v>
      </c>
      <c r="AB1" s="14" t="s">
        <v>33</v>
      </c>
      <c r="AC1" s="33" t="s">
        <v>34</v>
      </c>
      <c r="AD1" s="14" t="s">
        <v>35</v>
      </c>
      <c r="AE1" s="14" t="s">
        <v>37</v>
      </c>
      <c r="AF1" s="14" t="s">
        <v>40</v>
      </c>
      <c r="AG1" s="14" t="s">
        <v>36</v>
      </c>
      <c r="AH1" s="33" t="s">
        <v>307</v>
      </c>
      <c r="AI1" s="14" t="s">
        <v>38</v>
      </c>
      <c r="AJ1" s="14" t="s">
        <v>39</v>
      </c>
      <c r="AK1" s="14" t="s">
        <v>28</v>
      </c>
      <c r="AL1" s="14" t="s">
        <v>29</v>
      </c>
    </row>
    <row r="2" spans="1:38" ht="43.5">
      <c r="A2" s="4" t="s">
        <v>50</v>
      </c>
      <c r="B2" s="4">
        <v>1</v>
      </c>
      <c r="C2" s="4">
        <v>1</v>
      </c>
      <c r="D2" s="6" t="s">
        <v>54</v>
      </c>
      <c r="E2" s="4" t="s">
        <v>9</v>
      </c>
      <c r="F2" s="4" t="s">
        <v>9</v>
      </c>
      <c r="G2" s="4" t="s">
        <v>19</v>
      </c>
      <c r="H2" s="4">
        <v>172043</v>
      </c>
      <c r="I2" s="4">
        <v>1</v>
      </c>
      <c r="J2" s="5">
        <v>45750</v>
      </c>
      <c r="K2" s="5">
        <v>45762</v>
      </c>
      <c r="L2" s="5">
        <v>45763</v>
      </c>
      <c r="M2" s="7">
        <v>97007994.859999999</v>
      </c>
      <c r="N2" s="7">
        <v>81486715.680000007</v>
      </c>
      <c r="O2" s="8">
        <v>-16</v>
      </c>
      <c r="P2" s="8" t="str">
        <f>IF(O2&lt;0,"Below",IF(O2&gt;0,"Above","Equals"))</f>
        <v>Below</v>
      </c>
      <c r="Q2" s="4" t="s">
        <v>52</v>
      </c>
      <c r="R2" s="5">
        <v>45821</v>
      </c>
      <c r="S2" s="6" t="s">
        <v>387</v>
      </c>
      <c r="T2" s="14">
        <v>45840</v>
      </c>
      <c r="U2" s="12">
        <v>12</v>
      </c>
      <c r="V2" s="4">
        <v>1027</v>
      </c>
      <c r="W2" s="14">
        <v>45863</v>
      </c>
      <c r="X2" s="4" t="s">
        <v>50</v>
      </c>
      <c r="Y2" s="13">
        <v>287</v>
      </c>
      <c r="Z2" s="26">
        <v>46045</v>
      </c>
      <c r="AA2" s="4" t="s">
        <v>299</v>
      </c>
      <c r="AB2" s="4" t="s">
        <v>312</v>
      </c>
      <c r="AC2" s="33">
        <v>44723002374</v>
      </c>
      <c r="AD2" s="9">
        <v>4075000</v>
      </c>
      <c r="AE2" s="5">
        <v>46000</v>
      </c>
      <c r="AF2" s="4" t="s">
        <v>299</v>
      </c>
      <c r="AG2" s="4" t="s">
        <v>312</v>
      </c>
      <c r="AH2" s="33">
        <v>44723553103</v>
      </c>
      <c r="AI2" s="9">
        <v>1165000</v>
      </c>
      <c r="AJ2" s="5">
        <v>46000</v>
      </c>
      <c r="AK2" s="4">
        <v>85</v>
      </c>
      <c r="AL2" s="14">
        <v>46045</v>
      </c>
    </row>
    <row r="3" spans="1:38" ht="43.5">
      <c r="A3" s="4" t="s">
        <v>50</v>
      </c>
      <c r="B3" s="4">
        <v>1</v>
      </c>
      <c r="C3" s="4">
        <v>2</v>
      </c>
      <c r="D3" s="6" t="s">
        <v>57</v>
      </c>
      <c r="E3" s="4" t="s">
        <v>10</v>
      </c>
      <c r="F3" s="4" t="s">
        <v>10</v>
      </c>
      <c r="G3" s="4" t="s">
        <v>19</v>
      </c>
      <c r="H3" s="4">
        <v>172425</v>
      </c>
      <c r="I3" s="4">
        <v>1</v>
      </c>
      <c r="J3" s="5">
        <v>45750</v>
      </c>
      <c r="K3" s="5">
        <v>45762</v>
      </c>
      <c r="L3" s="5">
        <v>45763</v>
      </c>
      <c r="M3" s="7">
        <v>227072204.88999999</v>
      </c>
      <c r="N3" s="7">
        <v>198665472.06</v>
      </c>
      <c r="O3" s="8">
        <v>-12.51</v>
      </c>
      <c r="P3" s="8" t="str">
        <f>IF(O3&lt;0,"Below",IF(O3&gt;0,"Above","Equals"))</f>
        <v>Below</v>
      </c>
      <c r="Q3" s="4" t="s">
        <v>12</v>
      </c>
      <c r="R3" s="5">
        <v>45817</v>
      </c>
      <c r="S3" s="6"/>
      <c r="T3" s="14" t="s">
        <v>734</v>
      </c>
      <c r="U3" s="12"/>
      <c r="V3" s="4"/>
      <c r="W3" s="14" t="s">
        <v>734</v>
      </c>
      <c r="X3" s="4"/>
      <c r="Y3" s="13"/>
      <c r="Z3" s="13"/>
      <c r="AA3" s="4"/>
      <c r="AB3" s="4"/>
      <c r="AD3" s="9"/>
      <c r="AE3" s="5"/>
      <c r="AF3" s="11"/>
      <c r="AG3" s="11"/>
      <c r="AI3" s="9"/>
      <c r="AJ3" s="11"/>
      <c r="AK3" s="4"/>
    </row>
    <row r="4" spans="1:38" ht="58">
      <c r="A4" s="4" t="s">
        <v>50</v>
      </c>
      <c r="B4" s="4">
        <v>1</v>
      </c>
      <c r="C4" s="4">
        <v>3</v>
      </c>
      <c r="D4" s="6" t="s">
        <v>77</v>
      </c>
      <c r="E4" s="4" t="s">
        <v>0</v>
      </c>
      <c r="F4" s="4" t="str" cm="1">
        <f t="array" ref="F4">_xlfn.IFS(
  E4="Mahuva", "Mahuva",
  E4="Jesar", "Mahuva",
  E4="Palitana", "Palitana",
  E4="Gariyadhar", "Palitana",
  E4="Talaja", "Talaja",
  E4="Vallabhipur", "Vallabhipur",
  E4="Umrala", "Vallabhipur",
  E4="Shihor", "Shihor",
  E4="Ghogha", "Bhavnagar",
  E4="Bhavnagar", "Bhavnagar"
)</f>
        <v>Bhavnagar</v>
      </c>
      <c r="G4" s="4" t="s">
        <v>19</v>
      </c>
      <c r="H4" s="4">
        <v>171465</v>
      </c>
      <c r="I4" s="4">
        <v>2</v>
      </c>
      <c r="J4" s="5">
        <v>45750</v>
      </c>
      <c r="K4" s="5">
        <v>45762</v>
      </c>
      <c r="L4" s="5">
        <v>45763</v>
      </c>
      <c r="M4" s="7">
        <v>24276082.690000001</v>
      </c>
      <c r="N4" s="7">
        <v>25004365.170000002</v>
      </c>
      <c r="O4" s="8">
        <v>3</v>
      </c>
      <c r="P4" s="8" t="str">
        <f>IF(O4&lt;0,"Below",IF(O4&gt;0,"Above","Equals"))</f>
        <v>Above</v>
      </c>
      <c r="Q4" s="4" t="s">
        <v>52</v>
      </c>
      <c r="R4" s="5">
        <v>45777</v>
      </c>
      <c r="S4" s="6" t="s">
        <v>190</v>
      </c>
      <c r="T4" s="14">
        <v>45798</v>
      </c>
      <c r="U4" s="12">
        <v>9</v>
      </c>
      <c r="V4" s="4">
        <v>771</v>
      </c>
      <c r="W4" s="14">
        <v>45804</v>
      </c>
      <c r="X4" s="4" t="s">
        <v>50</v>
      </c>
      <c r="Y4" s="13">
        <v>68</v>
      </c>
      <c r="Z4" s="26">
        <v>45871</v>
      </c>
      <c r="AA4" s="4" t="s">
        <v>302</v>
      </c>
      <c r="AB4" s="4" t="s">
        <v>390</v>
      </c>
      <c r="AC4" s="33" t="s">
        <v>409</v>
      </c>
      <c r="AD4" s="9">
        <v>1251000</v>
      </c>
      <c r="AE4" s="5">
        <v>45859</v>
      </c>
      <c r="AF4" s="11"/>
      <c r="AG4" s="11"/>
      <c r="AI4" s="9"/>
      <c r="AJ4" s="11"/>
      <c r="AK4" s="4">
        <v>1060</v>
      </c>
      <c r="AL4" s="14">
        <v>45871</v>
      </c>
    </row>
    <row r="5" spans="1:38" ht="43.5">
      <c r="A5" s="4" t="s">
        <v>50</v>
      </c>
      <c r="B5" s="4">
        <v>1</v>
      </c>
      <c r="C5" s="4">
        <v>4</v>
      </c>
      <c r="D5" s="6" t="s">
        <v>78</v>
      </c>
      <c r="E5" s="4" t="s">
        <v>207</v>
      </c>
      <c r="F5" s="4" t="str" cm="1">
        <f t="array" ref="F5">_xlfn.IFS(
  E5="Mahuva", "Mahuva",
  E5="Jesar", "Mahuva",
  E5="Palitana", "Palitana",
  E5="Gariyadhar", "Palitana",
  E5="Talaja", "Talaja",
  E5="Vallabhipur", "Vallabhipur",
  E5="Umrala", "Vallabhipur",
  E5="Shihor", "Shihor",
  E5="Ghogha", "Bhavnagar",
  E5="Bhavnagar", "Bhavnagar"
)</f>
        <v>Palitana</v>
      </c>
      <c r="G5" s="4" t="s">
        <v>19</v>
      </c>
      <c r="H5" s="4">
        <v>171505</v>
      </c>
      <c r="I5" s="4">
        <v>2</v>
      </c>
      <c r="J5" s="5">
        <v>45750</v>
      </c>
      <c r="K5" s="5">
        <v>45762</v>
      </c>
      <c r="L5" s="5">
        <v>45763</v>
      </c>
      <c r="M5" s="7">
        <v>5689274.8799999999</v>
      </c>
      <c r="N5" s="7">
        <v>6232600.6299999999</v>
      </c>
      <c r="O5" s="8">
        <v>9.5500000000000007</v>
      </c>
      <c r="P5" s="8" t="str">
        <f>IF(O5&lt;0,"Below",IF(O5&gt;0,"Above","Equals"))</f>
        <v>Above</v>
      </c>
      <c r="Q5" s="4" t="s">
        <v>53</v>
      </c>
      <c r="R5" s="5">
        <v>45777</v>
      </c>
      <c r="S5" s="15" t="s">
        <v>93</v>
      </c>
      <c r="T5" s="14">
        <v>45791</v>
      </c>
      <c r="U5" s="12">
        <v>4</v>
      </c>
      <c r="V5" s="4">
        <v>891</v>
      </c>
      <c r="W5" s="14">
        <v>45832</v>
      </c>
      <c r="X5" s="4" t="s">
        <v>50</v>
      </c>
      <c r="Y5" s="13">
        <v>300</v>
      </c>
      <c r="Z5" s="26">
        <v>46056</v>
      </c>
      <c r="AA5" s="4" t="s">
        <v>299</v>
      </c>
      <c r="AB5" s="4" t="s">
        <v>312</v>
      </c>
      <c r="AC5" s="33">
        <v>44836477883</v>
      </c>
      <c r="AD5" s="9">
        <v>312000</v>
      </c>
      <c r="AE5" s="5">
        <v>46038</v>
      </c>
      <c r="AF5" s="11"/>
      <c r="AG5" s="11"/>
      <c r="AI5" s="9"/>
      <c r="AJ5" s="11"/>
      <c r="AK5" s="4">
        <v>122</v>
      </c>
      <c r="AL5" s="14">
        <v>46056</v>
      </c>
    </row>
    <row r="6" spans="1:38" ht="58">
      <c r="A6" s="4" t="s">
        <v>50</v>
      </c>
      <c r="B6" s="4">
        <v>1</v>
      </c>
      <c r="C6" s="4">
        <v>5</v>
      </c>
      <c r="D6" s="6" t="s">
        <v>79</v>
      </c>
      <c r="E6" s="4" t="s">
        <v>3</v>
      </c>
      <c r="F6" s="4" t="str" cm="1">
        <f t="array" ref="F6">_xlfn.IFS(
  E6="Mahuva", "Mahuva",
  E6="Jesar", "Mahuva",
  E6="Palitana", "Palitana",
  E6="Gariyadhar", "Palitana",
  E6="Talaja", "Talaja",
  E6="Vallabhipur", "Vallabhipur",
  E6="Umrala", "Vallabhipur",
  E6="Shihor", "Shihor",
  E6="Ghogha", "Bhavnagar",
  E6="Bhavnagar", "Bhavnagar"
)</f>
        <v>Talaja</v>
      </c>
      <c r="G6" s="4" t="s">
        <v>19</v>
      </c>
      <c r="H6" s="4">
        <v>171514</v>
      </c>
      <c r="I6" s="4">
        <v>1</v>
      </c>
      <c r="J6" s="5">
        <v>45750</v>
      </c>
      <c r="K6" s="5">
        <v>45762</v>
      </c>
      <c r="L6" s="5">
        <v>45763</v>
      </c>
      <c r="M6" s="7">
        <v>25215998.109999999</v>
      </c>
      <c r="N6" s="7">
        <v>23198718.260000002</v>
      </c>
      <c r="O6" s="8">
        <v>-8</v>
      </c>
      <c r="P6" s="8" t="str">
        <f>IF(O6&lt;0,"Below",IF(O6&gt;0,"Above","Equals"))</f>
        <v>Below</v>
      </c>
      <c r="Q6" s="4" t="s">
        <v>52</v>
      </c>
      <c r="R6" s="5">
        <v>45777</v>
      </c>
      <c r="S6" s="6" t="s">
        <v>189</v>
      </c>
      <c r="T6" s="14">
        <v>45794</v>
      </c>
      <c r="U6" s="12">
        <v>9</v>
      </c>
      <c r="V6" s="4">
        <v>370</v>
      </c>
      <c r="W6" s="14">
        <v>45804</v>
      </c>
      <c r="X6" s="4" t="s">
        <v>50</v>
      </c>
      <c r="Y6" s="13">
        <v>70</v>
      </c>
      <c r="Z6" s="26">
        <v>45877</v>
      </c>
      <c r="AA6" s="4" t="s">
        <v>302</v>
      </c>
      <c r="AB6" s="4" t="s">
        <v>390</v>
      </c>
      <c r="AC6" s="33" t="s">
        <v>513</v>
      </c>
      <c r="AD6" s="9">
        <v>1160000</v>
      </c>
      <c r="AE6" s="5">
        <v>45859</v>
      </c>
      <c r="AF6" s="11"/>
      <c r="AG6" s="11"/>
      <c r="AI6" s="9"/>
      <c r="AJ6" s="11"/>
      <c r="AK6" s="4">
        <v>1048</v>
      </c>
      <c r="AL6" s="14">
        <v>45877</v>
      </c>
    </row>
    <row r="7" spans="1:38" ht="43.5">
      <c r="A7" s="4" t="s">
        <v>50</v>
      </c>
      <c r="B7" s="4">
        <v>1</v>
      </c>
      <c r="C7" s="4">
        <v>6</v>
      </c>
      <c r="D7" s="6" t="s">
        <v>61</v>
      </c>
      <c r="E7" s="4" t="s">
        <v>11</v>
      </c>
      <c r="F7" s="4" t="str" cm="1">
        <f t="array" ref="F7">_xlfn.IFS(
  E7="Mahuva", "Mahuva",
  E7="Jesar", "Mahuva",
  E7="Palitana", "Palitana",
  E7="Gariyadhar", "Palitana",
  E7="Talaja", "Talaja",
  E7="Vallabhipur", "Vallabhipur",
  E7="Umrala", "Vallabhipur",
  E7="Shihor", "Shihor",
  E7="Ghogha", "Bhavnagar",
  E7="Bhavnagar", "Bhavnagar"
)</f>
        <v>Shihor</v>
      </c>
      <c r="G7" s="4" t="s">
        <v>19</v>
      </c>
      <c r="H7" s="4">
        <v>171520</v>
      </c>
      <c r="I7" s="4">
        <v>1</v>
      </c>
      <c r="J7" s="5">
        <v>45750</v>
      </c>
      <c r="K7" s="5">
        <v>45762</v>
      </c>
      <c r="L7" s="5">
        <v>45763</v>
      </c>
      <c r="O7" s="8"/>
      <c r="P7" s="8" t="str">
        <f>IF(O7&lt;0,"Below",IF(O7&gt;0,"Above","Equals"))</f>
        <v>Equals</v>
      </c>
      <c r="R7" s="5"/>
      <c r="S7" s="6"/>
      <c r="U7" s="12"/>
      <c r="V7" s="4"/>
      <c r="X7" s="4"/>
      <c r="Y7" s="13"/>
      <c r="Z7" s="13"/>
      <c r="AA7" s="4"/>
      <c r="AB7" s="4"/>
      <c r="AD7" s="9"/>
      <c r="AE7" s="5"/>
      <c r="AF7" s="11"/>
      <c r="AG7" s="11"/>
      <c r="AI7" s="9"/>
      <c r="AJ7" s="11"/>
      <c r="AK7" s="4"/>
    </row>
    <row r="8" spans="1:38" ht="104.4" customHeight="1">
      <c r="A8" s="4" t="s">
        <v>50</v>
      </c>
      <c r="B8" s="4">
        <v>1</v>
      </c>
      <c r="C8" s="4">
        <v>7</v>
      </c>
      <c r="D8" s="6" t="s">
        <v>80</v>
      </c>
      <c r="E8" s="4" t="s">
        <v>11</v>
      </c>
      <c r="F8" s="4" t="str" cm="1">
        <f t="array" ref="F8">_xlfn.IFS(
  E8="Mahuva", "Mahuva",
  E8="Jesar", "Mahuva",
  E8="Palitana", "Palitana",
  E8="Gariyadhar", "Palitana",
  E8="Talaja", "Talaja",
  E8="Vallabhipur", "Vallabhipur",
  E8="Umrala", "Vallabhipur",
  E8="Shihor", "Shihor",
  E8="Ghogha", "Bhavnagar",
  E8="Bhavnagar", "Bhavnagar"
)</f>
        <v>Shihor</v>
      </c>
      <c r="G8" s="4" t="s">
        <v>19</v>
      </c>
      <c r="H8" s="4">
        <v>171523</v>
      </c>
      <c r="I8" s="4">
        <v>1</v>
      </c>
      <c r="J8" s="5">
        <v>45750</v>
      </c>
      <c r="K8" s="5">
        <v>45762</v>
      </c>
      <c r="L8" s="5">
        <v>45763</v>
      </c>
      <c r="M8" s="7">
        <v>22712488.68</v>
      </c>
      <c r="N8" s="7">
        <v>20668364.699999999</v>
      </c>
      <c r="O8" s="8">
        <v>-9</v>
      </c>
      <c r="P8" s="8" t="str">
        <f>IF(O8&lt;0,"Below",IF(O8&gt;0,"Above","Equals"))</f>
        <v>Below</v>
      </c>
      <c r="Q8" s="4" t="s">
        <v>52</v>
      </c>
      <c r="R8" s="5">
        <v>45777</v>
      </c>
      <c r="S8" s="6" t="s">
        <v>185</v>
      </c>
      <c r="T8" s="14">
        <v>45798</v>
      </c>
      <c r="U8" s="12">
        <v>8</v>
      </c>
      <c r="V8" s="4">
        <v>735</v>
      </c>
      <c r="W8" s="14">
        <v>45798</v>
      </c>
      <c r="X8" s="4" t="s">
        <v>50</v>
      </c>
      <c r="Y8" s="13">
        <v>73</v>
      </c>
      <c r="Z8" s="26">
        <v>45877</v>
      </c>
      <c r="AA8" s="4" t="s">
        <v>302</v>
      </c>
      <c r="AB8" s="4" t="s">
        <v>390</v>
      </c>
      <c r="AC8" s="33" t="s">
        <v>527</v>
      </c>
      <c r="AD8" s="9">
        <v>1034000</v>
      </c>
      <c r="AE8" s="5">
        <v>45859</v>
      </c>
      <c r="AF8" s="11"/>
      <c r="AG8" s="11"/>
      <c r="AI8" s="9"/>
      <c r="AJ8" s="11"/>
      <c r="AK8" s="4">
        <v>1051</v>
      </c>
      <c r="AL8" s="14">
        <v>45877</v>
      </c>
    </row>
    <row r="9" spans="1:38" ht="43.5">
      <c r="A9" s="4" t="s">
        <v>50</v>
      </c>
      <c r="B9" s="4">
        <v>1</v>
      </c>
      <c r="C9" s="4">
        <v>8</v>
      </c>
      <c r="D9" s="6" t="s">
        <v>81</v>
      </c>
      <c r="E9" s="4" t="s">
        <v>9</v>
      </c>
      <c r="F9" s="4" t="str" cm="1">
        <f t="array" ref="F9">_xlfn.IFS(
  E9="Mahuva", "Mahuva",
  E9="Jesar", "Mahuva",
  E9="Palitana", "Palitana",
  E9="Gariyadhar", "Palitana",
  E9="Talaja", "Talaja",
  E9="Vallabhipur", "Vallabhipur",
  E9="Umrala", "Vallabhipur",
  E9="Shihor", "Shihor",
  E9="Ghogha", "Bhavnagar",
  E9="Bhavnagar", "Bhavnagar"
)</f>
        <v>Vallabhipur</v>
      </c>
      <c r="G9" s="4" t="s">
        <v>19</v>
      </c>
      <c r="H9" s="4">
        <v>171531</v>
      </c>
      <c r="I9" s="4">
        <v>1</v>
      </c>
      <c r="J9" s="5">
        <v>45750</v>
      </c>
      <c r="K9" s="5">
        <v>45762</v>
      </c>
      <c r="L9" s="5">
        <v>45763</v>
      </c>
      <c r="M9" s="7">
        <v>21183260.989999998</v>
      </c>
      <c r="N9" s="7">
        <v>19700432.719999999</v>
      </c>
      <c r="O9" s="8">
        <v>-7</v>
      </c>
      <c r="P9" s="8" t="str">
        <f>IF(O9&lt;0,"Below",IF(O9&gt;0,"Above","Equals"))</f>
        <v>Below</v>
      </c>
      <c r="Q9" s="4" t="s">
        <v>52</v>
      </c>
      <c r="R9" s="5">
        <v>45777</v>
      </c>
      <c r="S9" s="6" t="s">
        <v>186</v>
      </c>
      <c r="T9" s="14">
        <v>45798</v>
      </c>
      <c r="U9" s="12">
        <v>8</v>
      </c>
      <c r="V9" s="4">
        <v>736</v>
      </c>
      <c r="W9" s="14">
        <v>45798</v>
      </c>
      <c r="X9" s="4" t="s">
        <v>50</v>
      </c>
      <c r="Y9" s="13">
        <v>67</v>
      </c>
      <c r="Z9" s="26">
        <v>45871</v>
      </c>
      <c r="AA9" s="4" t="s">
        <v>302</v>
      </c>
      <c r="AB9" s="4" t="s">
        <v>390</v>
      </c>
      <c r="AC9" s="33" t="s">
        <v>408</v>
      </c>
      <c r="AD9" s="9">
        <v>986000</v>
      </c>
      <c r="AE9" s="5">
        <v>45859</v>
      </c>
      <c r="AF9" s="11"/>
      <c r="AG9" s="11"/>
      <c r="AI9" s="9"/>
      <c r="AJ9" s="11"/>
      <c r="AK9" s="4">
        <v>1059</v>
      </c>
      <c r="AL9" s="14">
        <v>45871</v>
      </c>
    </row>
    <row r="10" spans="1:38" ht="67.25" customHeight="1">
      <c r="A10" s="4" t="s">
        <v>50</v>
      </c>
      <c r="B10" s="4">
        <v>1</v>
      </c>
      <c r="C10" s="4">
        <v>9</v>
      </c>
      <c r="D10" s="6" t="s">
        <v>82</v>
      </c>
      <c r="E10" s="4" t="s">
        <v>10</v>
      </c>
      <c r="F10" s="4" t="str" cm="1">
        <f t="array" ref="F10">_xlfn.IFS(
  E10="Mahuva", "Mahuva",
  E10="Jesar", "Mahuva",
  E10="Palitana", "Palitana",
  E10="Gariyadhar", "Palitana",
  E10="Talaja", "Talaja",
  E10="Vallabhipur", "Vallabhipur",
  E10="Umrala", "Vallabhipur",
  E10="Shihor", "Shihor",
  E10="Ghogha", "Bhavnagar",
  E10="Bhavnagar", "Bhavnagar"
)</f>
        <v>Mahuva</v>
      </c>
      <c r="G10" s="4" t="s">
        <v>19</v>
      </c>
      <c r="H10" s="4">
        <v>171582</v>
      </c>
      <c r="I10" s="4">
        <v>1</v>
      </c>
      <c r="J10" s="5">
        <v>45750</v>
      </c>
      <c r="K10" s="5">
        <v>45762</v>
      </c>
      <c r="L10" s="5">
        <v>45763</v>
      </c>
      <c r="M10" s="7">
        <v>19007984.359999999</v>
      </c>
      <c r="N10" s="7">
        <v>17487345.609999999</v>
      </c>
      <c r="O10" s="8">
        <v>-8</v>
      </c>
      <c r="P10" s="8" t="str">
        <f>IF(O10&lt;0,"Below",IF(O10&gt;0,"Above","Equals"))</f>
        <v>Below</v>
      </c>
      <c r="Q10" s="4" t="s">
        <v>52</v>
      </c>
      <c r="R10" s="5">
        <v>45777</v>
      </c>
      <c r="S10" s="15" t="s">
        <v>256</v>
      </c>
      <c r="T10" s="14">
        <v>45791</v>
      </c>
      <c r="U10" s="12">
        <v>8</v>
      </c>
      <c r="V10" s="4">
        <v>856</v>
      </c>
      <c r="W10" s="14">
        <v>45826</v>
      </c>
      <c r="X10" s="4" t="s">
        <v>50</v>
      </c>
      <c r="Y10" s="13">
        <v>64</v>
      </c>
      <c r="Z10" s="26">
        <v>45871</v>
      </c>
      <c r="AA10" s="4" t="s">
        <v>302</v>
      </c>
      <c r="AB10" s="4" t="s">
        <v>390</v>
      </c>
      <c r="AC10" s="33" t="s">
        <v>391</v>
      </c>
      <c r="AD10" s="9">
        <v>875000</v>
      </c>
      <c r="AE10" s="5">
        <v>45859</v>
      </c>
      <c r="AF10" s="11"/>
      <c r="AG10" s="11"/>
      <c r="AI10" s="9"/>
      <c r="AJ10" s="11"/>
      <c r="AK10" s="4">
        <v>1056</v>
      </c>
      <c r="AL10" s="14">
        <v>45871</v>
      </c>
    </row>
    <row r="11" spans="1:38" ht="58">
      <c r="A11" s="4" t="s">
        <v>50</v>
      </c>
      <c r="B11" s="4">
        <v>1</v>
      </c>
      <c r="C11" s="4">
        <v>10</v>
      </c>
      <c r="D11" s="6" t="s">
        <v>83</v>
      </c>
      <c r="E11" s="4" t="s">
        <v>10</v>
      </c>
      <c r="F11" s="4" t="str" cm="1">
        <f t="array" ref="F11">_xlfn.IFS(
  E11="Mahuva", "Mahuva",
  E11="Jesar", "Mahuva",
  E11="Palitana", "Palitana",
  E11="Gariyadhar", "Palitana",
  E11="Talaja", "Talaja",
  E11="Vallabhipur", "Vallabhipur",
  E11="Umrala", "Vallabhipur",
  E11="Shihor", "Shihor",
  E11="Ghogha", "Bhavnagar",
  E11="Bhavnagar", "Bhavnagar"
)</f>
        <v>Mahuva</v>
      </c>
      <c r="G11" s="4" t="s">
        <v>19</v>
      </c>
      <c r="H11" s="4">
        <v>171587</v>
      </c>
      <c r="I11" s="4">
        <v>1</v>
      </c>
      <c r="J11" s="5">
        <v>45750</v>
      </c>
      <c r="K11" s="5">
        <v>45762</v>
      </c>
      <c r="L11" s="5">
        <v>45763</v>
      </c>
      <c r="M11" s="7">
        <v>19285670.34</v>
      </c>
      <c r="N11" s="7">
        <v>22012664.129999999</v>
      </c>
      <c r="O11" s="8">
        <v>14.14</v>
      </c>
      <c r="P11" s="8" t="str">
        <f>IF(O11&lt;0,"Below",IF(O11&gt;0,"Above","Equals"))</f>
        <v>Above</v>
      </c>
      <c r="Q11" s="4" t="s">
        <v>188</v>
      </c>
      <c r="R11" s="5">
        <v>45777</v>
      </c>
      <c r="S11" s="6" t="s">
        <v>254</v>
      </c>
      <c r="T11" s="14">
        <v>45826</v>
      </c>
      <c r="U11" s="12">
        <v>8</v>
      </c>
      <c r="V11" s="4">
        <v>881</v>
      </c>
      <c r="W11" s="14">
        <v>45829</v>
      </c>
      <c r="X11" s="4" t="s">
        <v>50</v>
      </c>
      <c r="Y11" s="13">
        <v>75</v>
      </c>
      <c r="Z11" s="26">
        <v>45877</v>
      </c>
      <c r="AA11" s="4" t="s">
        <v>302</v>
      </c>
      <c r="AB11" s="4" t="s">
        <v>530</v>
      </c>
      <c r="AC11" s="33" t="s">
        <v>531</v>
      </c>
      <c r="AD11" s="9">
        <v>1101000</v>
      </c>
      <c r="AE11" s="5">
        <v>45847</v>
      </c>
      <c r="AF11" s="11"/>
      <c r="AG11" s="11"/>
      <c r="AI11" s="9"/>
      <c r="AJ11" s="11"/>
      <c r="AK11" s="4">
        <v>1053</v>
      </c>
      <c r="AL11" s="14">
        <v>45877</v>
      </c>
    </row>
    <row r="12" spans="1:38" ht="43.5">
      <c r="A12" s="4" t="str">
        <f>A11</f>
        <v>2025-26</v>
      </c>
      <c r="B12" s="4">
        <f>B11</f>
        <v>1</v>
      </c>
      <c r="C12" s="4">
        <f>C11+1</f>
        <v>11</v>
      </c>
      <c r="D12" s="6" t="s">
        <v>1147</v>
      </c>
      <c r="E12" s="4" t="s">
        <v>10</v>
      </c>
      <c r="F12" s="4" t="str" cm="1">
        <f t="array" ref="F12">_xlfn.IFS(
  E12="Mahuva", "Mahuva",
  E12="Jesar", "Mahuva",
  E12="Palitana", "Palitana",
  E12="Gariyadhar", "Palitana",
  E12="Talaja", "Talaja",
  E12="Vallabhipur", "Vallabhipur",
  E12="Umrala", "Vallabhipur",
  E12="Shihor", "Shihor",
  E12="Ghogha", "Bhavnagar",
  E12="Bhavnagar", "Bhavnagar"
)</f>
        <v>Mahuva</v>
      </c>
      <c r="G12" s="4" t="s">
        <v>19</v>
      </c>
      <c r="H12" s="4">
        <v>293798</v>
      </c>
      <c r="I12" s="4"/>
      <c r="M12" s="7">
        <v>16698831.449999999</v>
      </c>
      <c r="N12" s="7">
        <v>16142760.359999999</v>
      </c>
      <c r="O12" s="8">
        <v>-3.33</v>
      </c>
      <c r="P12" s="8" t="str">
        <f>IF(O12&lt;0,"Below",IF(O12&gt;0,"Above","Equals"))</f>
        <v>Below</v>
      </c>
      <c r="Q12" s="4" t="s">
        <v>1143</v>
      </c>
      <c r="R12" s="5">
        <v>46155</v>
      </c>
      <c r="S12" s="15"/>
      <c r="U12" s="12"/>
      <c r="V12" s="4"/>
      <c r="X12" s="4"/>
      <c r="Y12" s="13"/>
      <c r="Z12" s="13"/>
      <c r="AA12" s="4"/>
      <c r="AB12" s="4"/>
      <c r="AD12" s="9"/>
      <c r="AE12" s="5"/>
      <c r="AF12" s="11"/>
      <c r="AG12" s="11"/>
      <c r="AI12" s="9"/>
      <c r="AJ12" s="11"/>
      <c r="AK12" s="4"/>
    </row>
    <row r="13" spans="1:38" ht="43.5">
      <c r="A13" s="4" t="s">
        <v>50</v>
      </c>
      <c r="B13" s="4">
        <v>1</v>
      </c>
      <c r="C13" s="4">
        <v>11</v>
      </c>
      <c r="D13" s="6" t="s">
        <v>84</v>
      </c>
      <c r="E13" s="4" t="s">
        <v>10</v>
      </c>
      <c r="F13" s="4" t="str" cm="1">
        <f t="array" ref="F13">_xlfn.IFS(
  E13="Mahuva", "Mahuva",
  E13="Jesar", "Mahuva",
  E13="Palitana", "Palitana",
  E13="Gariyadhar", "Palitana",
  E13="Talaja", "Talaja",
  E13="Vallabhipur", "Vallabhipur",
  E13="Umrala", "Vallabhipur",
  E13="Shihor", "Shihor",
  E13="Ghogha", "Bhavnagar",
  E13="Bhavnagar", "Bhavnagar"
)</f>
        <v>Mahuva</v>
      </c>
      <c r="G13" s="4" t="s">
        <v>19</v>
      </c>
      <c r="H13" s="4">
        <v>171609</v>
      </c>
      <c r="I13" s="4">
        <v>1</v>
      </c>
      <c r="J13" s="5">
        <v>45750</v>
      </c>
      <c r="K13" s="5">
        <v>45762</v>
      </c>
      <c r="L13" s="5">
        <v>45763</v>
      </c>
      <c r="M13" s="7">
        <v>24637886.640000001</v>
      </c>
      <c r="N13" s="7">
        <v>27126313.190000001</v>
      </c>
      <c r="O13" s="8">
        <v>10.1</v>
      </c>
      <c r="P13" s="8" t="str">
        <f>IF(O13&lt;0,"Below",IF(O13&gt;0,"Above","Equals"))</f>
        <v>Above</v>
      </c>
      <c r="Q13" s="4" t="s">
        <v>188</v>
      </c>
      <c r="R13" s="5">
        <v>45777</v>
      </c>
      <c r="S13" s="6" t="s">
        <v>187</v>
      </c>
      <c r="T13" s="14">
        <v>45798</v>
      </c>
      <c r="U13" s="12">
        <v>8</v>
      </c>
      <c r="V13" s="4">
        <v>737</v>
      </c>
      <c r="W13" s="14">
        <v>45798</v>
      </c>
      <c r="X13" s="4" t="s">
        <v>50</v>
      </c>
      <c r="Y13" s="13">
        <v>57</v>
      </c>
      <c r="Z13" s="26">
        <v>45857</v>
      </c>
      <c r="AA13" s="4" t="s">
        <v>302</v>
      </c>
      <c r="AB13" s="4" t="s">
        <v>304</v>
      </c>
      <c r="AC13" s="33" t="s">
        <v>303</v>
      </c>
      <c r="AD13" s="9">
        <v>1357000</v>
      </c>
      <c r="AE13" s="5">
        <v>45824</v>
      </c>
      <c r="AF13" s="11"/>
      <c r="AG13" s="11"/>
      <c r="AI13" s="9"/>
      <c r="AJ13" s="11"/>
      <c r="AK13" s="4">
        <v>993</v>
      </c>
      <c r="AL13" s="14">
        <v>45857</v>
      </c>
    </row>
    <row r="14" spans="1:38" ht="43.5">
      <c r="A14" s="4" t="s">
        <v>50</v>
      </c>
      <c r="B14" s="4">
        <v>1</v>
      </c>
      <c r="C14" s="4">
        <v>12</v>
      </c>
      <c r="D14" s="6" t="s">
        <v>85</v>
      </c>
      <c r="E14" s="4" t="s">
        <v>0</v>
      </c>
      <c r="F14" s="4" t="str" cm="1">
        <f t="array" ref="F14">_xlfn.IFS(
  E14="Mahuva", "Mahuva",
  E14="Jesar", "Mahuva",
  E14="Palitana", "Palitana",
  E14="Gariyadhar", "Palitana",
  E14="Talaja", "Talaja",
  E14="Vallabhipur", "Vallabhipur",
  E14="Umrala", "Vallabhipur",
  E14="Shihor", "Shihor",
  E14="Ghogha", "Bhavnagar",
  E14="Bhavnagar", "Bhavnagar"
)</f>
        <v>Bhavnagar</v>
      </c>
      <c r="G14" s="4" t="s">
        <v>19</v>
      </c>
      <c r="H14" s="4">
        <v>171614</v>
      </c>
      <c r="I14" s="4">
        <v>1</v>
      </c>
      <c r="J14" s="5">
        <v>45750</v>
      </c>
      <c r="K14" s="5">
        <v>45762</v>
      </c>
      <c r="L14" s="5">
        <v>45763</v>
      </c>
      <c r="M14" s="7">
        <v>34424113.649999999</v>
      </c>
      <c r="N14" s="7">
        <v>28513493.34</v>
      </c>
      <c r="O14" s="8">
        <v>-17.170000000000002</v>
      </c>
      <c r="P14" s="8" t="str">
        <f>IF(O14&lt;0,"Below",IF(O14&gt;0,"Above","Equals"))</f>
        <v>Below</v>
      </c>
      <c r="Q14" s="4" t="s">
        <v>16</v>
      </c>
      <c r="R14" s="5">
        <v>45792</v>
      </c>
      <c r="S14" s="6" t="s">
        <v>192</v>
      </c>
      <c r="T14" s="14">
        <v>45807</v>
      </c>
      <c r="U14" s="12">
        <v>10</v>
      </c>
      <c r="V14" s="4">
        <v>882</v>
      </c>
      <c r="W14" s="14">
        <v>45829</v>
      </c>
      <c r="X14" s="4" t="s">
        <v>50</v>
      </c>
      <c r="Y14" s="13">
        <v>239</v>
      </c>
      <c r="Z14" s="26">
        <v>46004</v>
      </c>
      <c r="AA14" s="4" t="s">
        <v>302</v>
      </c>
      <c r="AB14" s="4" t="s">
        <v>541</v>
      </c>
      <c r="AC14" s="33" t="s">
        <v>826</v>
      </c>
      <c r="AD14" s="9">
        <v>1426000</v>
      </c>
      <c r="AE14" s="5">
        <v>45971</v>
      </c>
      <c r="AF14" s="4" t="s">
        <v>302</v>
      </c>
      <c r="AG14" s="4" t="s">
        <v>541</v>
      </c>
      <c r="AH14" s="33" t="s">
        <v>827</v>
      </c>
      <c r="AI14" s="9">
        <v>494000</v>
      </c>
      <c r="AJ14" s="5">
        <v>45971</v>
      </c>
      <c r="AK14" s="4">
        <v>1705</v>
      </c>
      <c r="AL14" s="14">
        <v>46004</v>
      </c>
    </row>
    <row r="15" spans="1:38" ht="58">
      <c r="A15" s="4" t="s">
        <v>50</v>
      </c>
      <c r="B15" s="4">
        <v>1</v>
      </c>
      <c r="C15" s="4">
        <v>13</v>
      </c>
      <c r="D15" s="6" t="s">
        <v>86</v>
      </c>
      <c r="E15" s="4" t="s">
        <v>10</v>
      </c>
      <c r="F15" s="4" t="str" cm="1">
        <f t="array" ref="F15">_xlfn.IFS(
  E15="Mahuva", "Mahuva",
  E15="Jesar", "Mahuva",
  E15="Palitana", "Palitana",
  E15="Gariyadhar", "Palitana",
  E15="Talaja", "Talaja",
  E15="Vallabhipur", "Vallabhipur",
  E15="Umrala", "Vallabhipur",
  E15="Shihor", "Shihor",
  E15="Ghogha", "Bhavnagar",
  E15="Bhavnagar", "Bhavnagar"
)</f>
        <v>Mahuva</v>
      </c>
      <c r="G15" s="4" t="s">
        <v>19</v>
      </c>
      <c r="H15" s="4">
        <v>171617</v>
      </c>
      <c r="I15" s="4">
        <v>1</v>
      </c>
      <c r="J15" s="5">
        <v>45750</v>
      </c>
      <c r="K15" s="5">
        <v>45762</v>
      </c>
      <c r="L15" s="5">
        <v>45763</v>
      </c>
      <c r="M15" s="7">
        <v>23364615.09</v>
      </c>
      <c r="N15" s="7">
        <v>23362278.629999999</v>
      </c>
      <c r="O15" s="8">
        <v>-0.01</v>
      </c>
      <c r="P15" s="8" t="str">
        <f>IF(O15&lt;0,"Below",IF(O15&gt;0,"Above","Equals"))</f>
        <v>Below</v>
      </c>
      <c r="Q15" s="4" t="s">
        <v>13</v>
      </c>
      <c r="R15" s="5">
        <v>45777</v>
      </c>
      <c r="S15" s="6" t="s">
        <v>285</v>
      </c>
      <c r="T15" s="14">
        <v>45804</v>
      </c>
      <c r="U15" s="12">
        <v>8</v>
      </c>
      <c r="V15" s="4">
        <v>883</v>
      </c>
      <c r="W15" s="14">
        <v>45829</v>
      </c>
      <c r="X15" s="4" t="s">
        <v>50</v>
      </c>
      <c r="Y15" s="13">
        <v>321</v>
      </c>
      <c r="Z15" s="26">
        <v>46083</v>
      </c>
      <c r="AA15" s="4" t="s">
        <v>299</v>
      </c>
      <c r="AB15" s="4" t="s">
        <v>725</v>
      </c>
      <c r="AC15" s="33" t="s">
        <v>1027</v>
      </c>
      <c r="AD15" s="9">
        <v>1169000</v>
      </c>
      <c r="AE15" s="5">
        <v>46080</v>
      </c>
      <c r="AF15" s="11"/>
      <c r="AG15" s="11"/>
      <c r="AI15" s="9"/>
      <c r="AJ15" s="11"/>
      <c r="AK15" s="4">
        <v>325</v>
      </c>
      <c r="AL15" s="14">
        <v>46083</v>
      </c>
    </row>
    <row r="16" spans="1:38" ht="43.5">
      <c r="A16" s="4" t="s">
        <v>50</v>
      </c>
      <c r="B16" s="4">
        <v>1</v>
      </c>
      <c r="C16" s="4">
        <v>14</v>
      </c>
      <c r="D16" s="6" t="s">
        <v>87</v>
      </c>
      <c r="E16" s="4" t="s">
        <v>10</v>
      </c>
      <c r="F16" s="4" t="str" cm="1">
        <f t="array" ref="F16">_xlfn.IFS(
  E16="Mahuva", "Mahuva",
  E16="Jesar", "Mahuva",
  E16="Palitana", "Palitana",
  E16="Gariyadhar", "Palitana",
  E16="Talaja", "Talaja",
  E16="Vallabhipur", "Vallabhipur",
  E16="Umrala", "Vallabhipur",
  E16="Shihor", "Shihor",
  E16="Ghogha", "Bhavnagar",
  E16="Bhavnagar", "Bhavnagar"
)</f>
        <v>Mahuva</v>
      </c>
      <c r="G16" s="4" t="s">
        <v>19</v>
      </c>
      <c r="H16" s="4">
        <v>171618</v>
      </c>
      <c r="I16" s="4">
        <v>1</v>
      </c>
      <c r="J16" s="5">
        <v>45750</v>
      </c>
      <c r="K16" s="5">
        <v>45762</v>
      </c>
      <c r="L16" s="5">
        <v>45763</v>
      </c>
      <c r="M16" s="7">
        <v>26862658.760000002</v>
      </c>
      <c r="N16" s="7">
        <v>30142589.390000001</v>
      </c>
      <c r="O16" s="8">
        <v>12.21</v>
      </c>
      <c r="P16" s="8" t="str">
        <f>IF(O16&lt;0,"Below",IF(O16&gt;0,"Above","Equals"))</f>
        <v>Above</v>
      </c>
      <c r="Q16" s="4" t="s">
        <v>188</v>
      </c>
      <c r="R16" s="5">
        <v>45777</v>
      </c>
      <c r="S16" s="6" t="s">
        <v>191</v>
      </c>
      <c r="T16" s="14">
        <v>45804</v>
      </c>
      <c r="U16" s="12">
        <v>6</v>
      </c>
      <c r="V16" s="4">
        <v>772</v>
      </c>
      <c r="W16" s="14">
        <v>45804</v>
      </c>
      <c r="X16" s="4" t="s">
        <v>50</v>
      </c>
      <c r="Y16" s="13">
        <v>58</v>
      </c>
      <c r="Z16" s="26">
        <v>45857</v>
      </c>
      <c r="AA16" s="4" t="s">
        <v>302</v>
      </c>
      <c r="AB16" s="4" t="s">
        <v>304</v>
      </c>
      <c r="AC16" s="33" t="s">
        <v>305</v>
      </c>
      <c r="AD16" s="9">
        <v>1508000</v>
      </c>
      <c r="AE16" s="5">
        <v>45824</v>
      </c>
      <c r="AF16" s="11"/>
      <c r="AG16" s="11"/>
      <c r="AI16" s="9"/>
      <c r="AJ16" s="11"/>
      <c r="AK16" s="4">
        <v>994</v>
      </c>
      <c r="AL16" s="14">
        <v>45857</v>
      </c>
    </row>
    <row r="17" spans="1:38" ht="58">
      <c r="A17" s="4" t="s">
        <v>50</v>
      </c>
      <c r="B17" s="4">
        <v>1</v>
      </c>
      <c r="C17" s="4">
        <v>15</v>
      </c>
      <c r="D17" s="6" t="s">
        <v>88</v>
      </c>
      <c r="E17" s="4" t="s">
        <v>0</v>
      </c>
      <c r="F17" s="4" t="str" cm="1">
        <f t="array" ref="F17">_xlfn.IFS(
  E17="Mahuva", "Mahuva",
  E17="Jesar", "Mahuva",
  E17="Palitana", "Palitana",
  E17="Gariyadhar", "Palitana",
  E17="Talaja", "Talaja",
  E17="Vallabhipur", "Vallabhipur",
  E17="Umrala", "Vallabhipur",
  E17="Shihor", "Shihor",
  E17="Ghogha", "Bhavnagar",
  E17="Bhavnagar", "Bhavnagar"
)</f>
        <v>Bhavnagar</v>
      </c>
      <c r="G17" s="4" t="s">
        <v>19</v>
      </c>
      <c r="H17" s="4">
        <v>171621</v>
      </c>
      <c r="I17" s="4">
        <v>1</v>
      </c>
      <c r="J17" s="5">
        <v>45750</v>
      </c>
      <c r="K17" s="5">
        <v>45762</v>
      </c>
      <c r="L17" s="5">
        <v>45763</v>
      </c>
      <c r="M17" s="7">
        <v>11020839.960000001</v>
      </c>
      <c r="N17" s="7">
        <v>11020839.960000001</v>
      </c>
      <c r="O17" s="8">
        <v>0</v>
      </c>
      <c r="P17" s="8" t="str">
        <f>IF(O17&lt;0,"Below",IF(O17&gt;0,"Above","Equals"))</f>
        <v>Equals</v>
      </c>
      <c r="Q17" s="4" t="s">
        <v>52</v>
      </c>
      <c r="R17" s="5">
        <v>45777</v>
      </c>
      <c r="S17" s="15" t="s">
        <v>257</v>
      </c>
      <c r="T17" s="14">
        <v>45791</v>
      </c>
      <c r="U17" s="12">
        <v>8</v>
      </c>
      <c r="V17" s="4">
        <v>857</v>
      </c>
      <c r="W17" s="14">
        <v>45826</v>
      </c>
      <c r="X17" s="4" t="s">
        <v>50</v>
      </c>
      <c r="Y17" s="13">
        <v>69</v>
      </c>
      <c r="Z17" s="26">
        <v>45871</v>
      </c>
      <c r="AA17" s="4" t="s">
        <v>302</v>
      </c>
      <c r="AB17" s="4" t="s">
        <v>390</v>
      </c>
      <c r="AC17" s="33" t="s">
        <v>410</v>
      </c>
      <c r="AD17" s="9">
        <v>552000</v>
      </c>
      <c r="AE17" s="5">
        <v>45859</v>
      </c>
      <c r="AF17" s="11"/>
      <c r="AG17" s="11"/>
      <c r="AI17" s="9"/>
      <c r="AJ17" s="11"/>
      <c r="AK17" s="4">
        <v>1061</v>
      </c>
      <c r="AL17" s="14">
        <v>45871</v>
      </c>
    </row>
    <row r="18" spans="1:38" ht="168" customHeight="1">
      <c r="A18" s="4" t="s">
        <v>50</v>
      </c>
      <c r="B18" s="4">
        <v>1</v>
      </c>
      <c r="C18" s="4">
        <v>16</v>
      </c>
      <c r="D18" s="6" t="s">
        <v>89</v>
      </c>
      <c r="E18" s="4" t="s">
        <v>2</v>
      </c>
      <c r="F18" s="4" t="str" cm="1">
        <f t="array" ref="F18">_xlfn.IFS(
  E18="Mahuva", "Mahuva",
  E18="Jesar", "Mahuva",
  E18="Palitana", "Palitana",
  E18="Gariyadhar", "Palitana",
  E18="Talaja", "Talaja",
  E18="Vallabhipur", "Vallabhipur",
  E18="Umrala", "Vallabhipur",
  E18="Shihor", "Shihor",
  E18="Ghogha", "Bhavnagar",
  E18="Bhavnagar", "Bhavnagar"
)</f>
        <v>Palitana</v>
      </c>
      <c r="G18" s="4" t="s">
        <v>19</v>
      </c>
      <c r="H18" s="4">
        <v>171624</v>
      </c>
      <c r="I18" s="4">
        <v>1</v>
      </c>
      <c r="J18" s="5">
        <v>45750</v>
      </c>
      <c r="K18" s="5">
        <v>45762</v>
      </c>
      <c r="L18" s="5">
        <v>45763</v>
      </c>
      <c r="M18" s="7">
        <v>24743989.260000002</v>
      </c>
      <c r="N18" s="7">
        <v>23259349.899999999</v>
      </c>
      <c r="O18" s="8">
        <v>-6</v>
      </c>
      <c r="P18" s="8" t="str">
        <f>IF(O18&lt;0,"Below",IF(O18&gt;0,"Above","Equals"))</f>
        <v>Below</v>
      </c>
      <c r="Q18" s="4" t="s">
        <v>12</v>
      </c>
      <c r="R18" s="5">
        <v>45777</v>
      </c>
      <c r="S18" s="6" t="s">
        <v>183</v>
      </c>
      <c r="T18" s="14">
        <v>45797</v>
      </c>
      <c r="U18" s="12">
        <v>8</v>
      </c>
      <c r="V18" s="4">
        <v>892</v>
      </c>
      <c r="W18" s="14">
        <v>45826</v>
      </c>
      <c r="X18" s="4" t="s">
        <v>50</v>
      </c>
      <c r="Y18" s="13">
        <v>215</v>
      </c>
      <c r="Z18" s="26">
        <v>45981</v>
      </c>
      <c r="AA18" s="4" t="s">
        <v>302</v>
      </c>
      <c r="AB18" s="4" t="s">
        <v>312</v>
      </c>
      <c r="AC18" s="33" t="s">
        <v>784</v>
      </c>
      <c r="AD18" s="9">
        <v>1163000</v>
      </c>
      <c r="AE18" s="5">
        <v>45912</v>
      </c>
      <c r="AF18" s="11"/>
      <c r="AG18" s="11"/>
      <c r="AI18" s="9"/>
      <c r="AJ18" s="11"/>
      <c r="AK18" s="4">
        <v>1547</v>
      </c>
      <c r="AL18" s="14">
        <v>45981</v>
      </c>
    </row>
    <row r="19" spans="1:38" ht="75.5" customHeight="1">
      <c r="A19" s="4" t="s">
        <v>50</v>
      </c>
      <c r="B19" s="4">
        <v>1</v>
      </c>
      <c r="C19" s="4">
        <v>17</v>
      </c>
      <c r="D19" s="6" t="s">
        <v>309</v>
      </c>
      <c r="E19" s="4" t="s">
        <v>10</v>
      </c>
      <c r="F19" s="4" t="str" cm="1">
        <f t="array" ref="F19">_xlfn.IFS(
  E19="Mahuva", "Mahuva",
  E19="Jesar", "Mahuva",
  E19="Palitana", "Palitana",
  E19="Gariyadhar", "Palitana",
  E19="Talaja", "Talaja",
  E19="Vallabhipur", "Vallabhipur",
  E19="Umrala", "Vallabhipur",
  E19="Shihor", "Shihor",
  E19="Ghogha", "Bhavnagar",
  E19="Bhavnagar", "Bhavnagar"
)</f>
        <v>Mahuva</v>
      </c>
      <c r="G19" s="4" t="s">
        <v>19</v>
      </c>
      <c r="H19" s="4">
        <v>171483</v>
      </c>
      <c r="I19" s="4">
        <v>1</v>
      </c>
      <c r="J19" s="5">
        <v>45750</v>
      </c>
      <c r="K19" s="5">
        <v>45762</v>
      </c>
      <c r="L19" s="5">
        <v>45763</v>
      </c>
      <c r="M19" s="7">
        <v>29379827.5</v>
      </c>
      <c r="N19" s="7">
        <v>30848818.879999999</v>
      </c>
      <c r="O19" s="8">
        <v>5</v>
      </c>
      <c r="P19" s="8" t="str">
        <f>IF(O19&lt;0,"Below",IF(O19&gt;0,"Above","Equals"))</f>
        <v>Above</v>
      </c>
      <c r="Q19" s="4" t="s">
        <v>12</v>
      </c>
      <c r="R19" s="5">
        <v>45777</v>
      </c>
      <c r="S19" s="6" t="s">
        <v>184</v>
      </c>
      <c r="T19" s="14">
        <v>45797</v>
      </c>
      <c r="U19" s="12">
        <v>6</v>
      </c>
      <c r="V19" s="4">
        <v>734</v>
      </c>
      <c r="W19" s="14">
        <v>45798</v>
      </c>
      <c r="X19" s="4" t="s">
        <v>50</v>
      </c>
      <c r="Y19" s="13">
        <v>61</v>
      </c>
      <c r="Z19" s="26">
        <v>45857</v>
      </c>
      <c r="AA19" s="4" t="s">
        <v>302</v>
      </c>
      <c r="AB19" s="4" t="s">
        <v>306</v>
      </c>
      <c r="AC19" s="33" t="s">
        <v>308</v>
      </c>
      <c r="AD19" s="9">
        <v>1543000</v>
      </c>
      <c r="AE19" s="5">
        <v>45831</v>
      </c>
      <c r="AF19" s="11"/>
      <c r="AG19" s="11"/>
      <c r="AI19" s="9"/>
      <c r="AJ19" s="11"/>
      <c r="AK19" s="4">
        <v>997</v>
      </c>
      <c r="AL19" s="14">
        <v>45857</v>
      </c>
    </row>
    <row r="20" spans="1:38" ht="144" customHeight="1">
      <c r="A20" s="4" t="s">
        <v>50</v>
      </c>
      <c r="B20" s="4">
        <v>1</v>
      </c>
      <c r="C20" s="4">
        <v>18</v>
      </c>
      <c r="D20" s="6" t="s">
        <v>44</v>
      </c>
      <c r="E20" s="4" t="s">
        <v>9</v>
      </c>
      <c r="F20" s="4" t="str" cm="1">
        <f t="array" ref="F20">_xlfn.IFS(
  E20="Mahuva", "Mahuva",
  E20="Jesar", "Mahuva",
  E20="Palitana", "Palitana",
  E20="Gariyadhar", "Palitana",
  E20="Talaja", "Talaja",
  E20="Vallabhipur", "Vallabhipur",
  E20="Umrala", "Vallabhipur",
  E20="Shihor", "Shihor",
  E20="Ghogha", "Bhavnagar",
  E20="Bhavnagar", "Bhavnagar"
)</f>
        <v>Vallabhipur</v>
      </c>
      <c r="G20" s="4" t="s">
        <v>19</v>
      </c>
      <c r="H20" s="4">
        <v>171618</v>
      </c>
      <c r="I20" s="4">
        <v>1</v>
      </c>
      <c r="J20" s="5">
        <v>45750</v>
      </c>
      <c r="K20" s="5">
        <v>45762</v>
      </c>
      <c r="L20" s="5">
        <v>45763</v>
      </c>
      <c r="O20" s="8"/>
      <c r="P20" s="8" t="str">
        <f>IF(O20&lt;0,"Below",IF(O20&gt;0,"Above","Equals"))</f>
        <v>Equals</v>
      </c>
      <c r="R20" s="5"/>
      <c r="S20" s="6"/>
      <c r="U20" s="12"/>
      <c r="V20" s="4"/>
      <c r="X20" s="4"/>
      <c r="Y20" s="13"/>
      <c r="Z20" s="13"/>
      <c r="AA20" s="4"/>
      <c r="AB20" s="4"/>
      <c r="AD20" s="9"/>
      <c r="AE20" s="5"/>
      <c r="AF20" s="11"/>
      <c r="AG20" s="11"/>
      <c r="AI20" s="9"/>
      <c r="AJ20" s="11"/>
      <c r="AK20" s="4"/>
    </row>
    <row r="21" spans="1:38" ht="58">
      <c r="A21" s="4" t="s">
        <v>50</v>
      </c>
      <c r="B21" s="4">
        <v>1</v>
      </c>
      <c r="C21" s="4">
        <v>19</v>
      </c>
      <c r="D21" s="6" t="s">
        <v>90</v>
      </c>
      <c r="E21" s="4" t="s">
        <v>1</v>
      </c>
      <c r="F21" s="4" t="str" cm="1">
        <f t="array" ref="F21">_xlfn.IFS(
  E21="Mahuva", "Mahuva",
  E21="Jesar", "Mahuva",
  E21="Palitana", "Palitana",
  E21="Gariyadhar", "Palitana",
  E21="Talaja", "Talaja",
  E21="Vallabhipur", "Vallabhipur",
  E21="Umrala", "Vallabhipur",
  E21="Shihor", "Shihor",
  E21="Ghogha", "Bhavnagar",
  E21="Bhavnagar", "Bhavnagar"
)</f>
        <v>Vallabhipur</v>
      </c>
      <c r="G21" s="4" t="s">
        <v>19</v>
      </c>
      <c r="H21" s="4">
        <v>171638</v>
      </c>
      <c r="I21" s="4">
        <v>1</v>
      </c>
      <c r="J21" s="5">
        <v>45750</v>
      </c>
      <c r="K21" s="5">
        <v>45762</v>
      </c>
      <c r="L21" s="5">
        <v>45763</v>
      </c>
      <c r="M21" s="7">
        <v>12145304.619999999</v>
      </c>
      <c r="N21" s="7">
        <v>9527991.4700000007</v>
      </c>
      <c r="O21" s="8">
        <v>-21.55</v>
      </c>
      <c r="P21" s="8" t="str">
        <f>IF(O21&lt;0,"Below",IF(O21&gt;0,"Above","Equals"))</f>
        <v>Below</v>
      </c>
      <c r="Q21" s="4" t="s">
        <v>15</v>
      </c>
      <c r="R21" s="5">
        <v>45777</v>
      </c>
      <c r="S21" s="15" t="s">
        <v>258</v>
      </c>
      <c r="T21" s="14">
        <v>45791</v>
      </c>
      <c r="U21" s="12">
        <v>8</v>
      </c>
      <c r="V21" s="4">
        <v>858</v>
      </c>
      <c r="W21" s="14">
        <v>45826</v>
      </c>
      <c r="X21" s="4" t="s">
        <v>50</v>
      </c>
      <c r="Y21" s="13">
        <v>244</v>
      </c>
      <c r="Z21" s="26">
        <v>46013</v>
      </c>
      <c r="AA21" s="4" t="s">
        <v>299</v>
      </c>
      <c r="AB21" s="4" t="s">
        <v>632</v>
      </c>
      <c r="AC21" s="33">
        <v>5917294652</v>
      </c>
      <c r="AD21" s="9">
        <v>477000</v>
      </c>
      <c r="AE21" s="5">
        <v>46009</v>
      </c>
      <c r="AF21" s="4" t="s">
        <v>299</v>
      </c>
      <c r="AG21" s="4" t="s">
        <v>632</v>
      </c>
      <c r="AH21" s="33">
        <v>5917293182</v>
      </c>
      <c r="AI21" s="9">
        <v>421000</v>
      </c>
      <c r="AJ21" s="5">
        <v>46009</v>
      </c>
      <c r="AK21" s="4">
        <v>1788</v>
      </c>
      <c r="AL21" s="14">
        <v>46013</v>
      </c>
    </row>
    <row r="22" spans="1:38" ht="227" customHeight="1">
      <c r="A22" s="4" t="s">
        <v>50</v>
      </c>
      <c r="B22" s="4">
        <v>1</v>
      </c>
      <c r="C22" s="4">
        <v>20</v>
      </c>
      <c r="D22" s="6" t="s">
        <v>91</v>
      </c>
      <c r="E22" s="4" t="s">
        <v>1</v>
      </c>
      <c r="F22" s="4" t="str" cm="1">
        <f t="array" ref="F22">_xlfn.IFS(
  E22="Mahuva", "Mahuva",
  E22="Jesar", "Mahuva",
  E22="Palitana", "Palitana",
  E22="Gariyadhar", "Palitana",
  E22="Talaja", "Talaja",
  E22="Vallabhipur", "Vallabhipur",
  E22="Umrala", "Vallabhipur",
  E22="Shihor", "Shihor",
  E22="Ghogha", "Bhavnagar",
  E22="Bhavnagar", "Bhavnagar"
)</f>
        <v>Vallabhipur</v>
      </c>
      <c r="G22" s="4" t="s">
        <v>19</v>
      </c>
      <c r="H22" s="4">
        <v>171643</v>
      </c>
      <c r="I22" s="4">
        <v>1</v>
      </c>
      <c r="J22" s="5">
        <v>45750</v>
      </c>
      <c r="K22" s="5">
        <v>45762</v>
      </c>
      <c r="L22" s="5">
        <v>45763</v>
      </c>
      <c r="M22" s="7">
        <v>15944827.16</v>
      </c>
      <c r="N22" s="7">
        <v>12508716.91</v>
      </c>
      <c r="O22" s="8">
        <v>-21.55</v>
      </c>
      <c r="P22" s="8" t="str">
        <f>IF(O22&lt;0,"Below",IF(O22&gt;0,"Above","Equals"))</f>
        <v>Below</v>
      </c>
      <c r="Q22" s="4" t="s">
        <v>15</v>
      </c>
      <c r="R22" s="5">
        <v>45777</v>
      </c>
      <c r="S22" s="15" t="s">
        <v>95</v>
      </c>
      <c r="T22" s="14">
        <v>45791</v>
      </c>
      <c r="U22" s="12">
        <v>8</v>
      </c>
      <c r="V22" s="4">
        <v>722</v>
      </c>
      <c r="W22" s="14">
        <v>45797</v>
      </c>
      <c r="X22" s="4" t="s">
        <v>50</v>
      </c>
      <c r="Y22" s="13">
        <v>305</v>
      </c>
      <c r="Z22" s="26">
        <v>46069</v>
      </c>
      <c r="AA22" s="4" t="s">
        <v>299</v>
      </c>
      <c r="AB22" s="4" t="s">
        <v>632</v>
      </c>
      <c r="AC22" s="33">
        <v>5945226836</v>
      </c>
      <c r="AD22" s="9">
        <v>626000</v>
      </c>
      <c r="AE22" s="5">
        <v>46065</v>
      </c>
      <c r="AF22" s="4" t="s">
        <v>299</v>
      </c>
      <c r="AG22" s="4" t="s">
        <v>632</v>
      </c>
      <c r="AH22" s="33">
        <v>5945225050</v>
      </c>
      <c r="AI22" s="9">
        <v>553000</v>
      </c>
      <c r="AJ22" s="5">
        <v>46065</v>
      </c>
      <c r="AK22" s="4">
        <v>242</v>
      </c>
      <c r="AL22" s="14">
        <v>46069</v>
      </c>
    </row>
    <row r="23" spans="1:38" ht="58">
      <c r="A23" s="4" t="s">
        <v>50</v>
      </c>
      <c r="B23" s="4">
        <v>1</v>
      </c>
      <c r="C23" s="4">
        <v>21</v>
      </c>
      <c r="D23" s="6" t="s">
        <v>76</v>
      </c>
      <c r="E23" s="4" t="s">
        <v>2</v>
      </c>
      <c r="F23" s="4" t="str" cm="1">
        <f t="array" ref="F23">_xlfn.IFS(
  E23="Mahuva", "Mahuva",
  E23="Jesar", "Mahuva",
  E23="Palitana", "Palitana",
  E23="Gariyadhar", "Palitana",
  E23="Talaja", "Talaja",
  E23="Vallabhipur", "Vallabhipur",
  E23="Umrala", "Vallabhipur",
  E23="Shihor", "Shihor",
  E23="Ghogha", "Bhavnagar",
  E23="Bhavnagar", "Bhavnagar"
)</f>
        <v>Palitana</v>
      </c>
      <c r="G23" s="4" t="s">
        <v>19</v>
      </c>
      <c r="H23" s="4">
        <v>171660</v>
      </c>
      <c r="I23" s="4">
        <v>1</v>
      </c>
      <c r="J23" s="5">
        <v>45750</v>
      </c>
      <c r="K23" s="5">
        <v>45762</v>
      </c>
      <c r="L23" s="5">
        <v>45763</v>
      </c>
      <c r="M23" s="7">
        <v>14196862.689999999</v>
      </c>
      <c r="N23" s="7">
        <v>9655286.3200000003</v>
      </c>
      <c r="O23" s="8">
        <v>-31.99</v>
      </c>
      <c r="P23" s="8" t="str">
        <f>IF(O23&lt;0,"Below",IF(O23&gt;0,"Above","Equals"))</f>
        <v>Below</v>
      </c>
      <c r="Q23" s="4" t="s">
        <v>12</v>
      </c>
      <c r="R23" s="5">
        <v>45777</v>
      </c>
      <c r="S23" s="15" t="s">
        <v>72</v>
      </c>
      <c r="T23" s="14">
        <v>45791</v>
      </c>
      <c r="U23" s="12">
        <v>6</v>
      </c>
      <c r="V23" s="4">
        <v>721</v>
      </c>
      <c r="W23" s="14">
        <v>45797</v>
      </c>
      <c r="X23" s="4" t="s">
        <v>50</v>
      </c>
      <c r="Y23" s="13">
        <v>62</v>
      </c>
      <c r="Z23" s="26">
        <v>45857</v>
      </c>
      <c r="AA23" s="4" t="s">
        <v>302</v>
      </c>
      <c r="AB23" s="4" t="s">
        <v>306</v>
      </c>
      <c r="AC23" s="33" t="s">
        <v>310</v>
      </c>
      <c r="AD23" s="9">
        <v>483000</v>
      </c>
      <c r="AE23" s="5">
        <v>45831</v>
      </c>
      <c r="AF23" s="4" t="s">
        <v>302</v>
      </c>
      <c r="AG23" s="4" t="s">
        <v>306</v>
      </c>
      <c r="AH23" s="33" t="s">
        <v>311</v>
      </c>
      <c r="AI23" s="9">
        <v>937000</v>
      </c>
      <c r="AJ23" s="5">
        <v>45831</v>
      </c>
      <c r="AK23" s="4">
        <v>998</v>
      </c>
      <c r="AL23" s="14">
        <v>45857</v>
      </c>
    </row>
    <row r="24" spans="1:38" ht="58">
      <c r="A24" s="4" t="s">
        <v>50</v>
      </c>
      <c r="B24" s="4">
        <v>1</v>
      </c>
      <c r="C24" s="4">
        <v>22</v>
      </c>
      <c r="D24" s="6" t="s">
        <v>92</v>
      </c>
      <c r="E24" s="4" t="s">
        <v>2</v>
      </c>
      <c r="F24" s="4" t="str" cm="1">
        <f t="array" ref="F24">_xlfn.IFS(
  E24="Mahuva", "Mahuva",
  E24="Jesar", "Mahuva",
  E24="Palitana", "Palitana",
  E24="Gariyadhar", "Palitana",
  E24="Talaja", "Talaja",
  E24="Vallabhipur", "Vallabhipur",
  E24="Umrala", "Vallabhipur",
  E24="Shihor", "Shihor",
  E24="Ghogha", "Bhavnagar",
  E24="Bhavnagar", "Bhavnagar"
)</f>
        <v>Palitana</v>
      </c>
      <c r="G24" s="4" t="s">
        <v>19</v>
      </c>
      <c r="H24" s="4">
        <v>171664</v>
      </c>
      <c r="I24" s="4">
        <v>1</v>
      </c>
      <c r="J24" s="5">
        <v>45750</v>
      </c>
      <c r="K24" s="5">
        <v>45762</v>
      </c>
      <c r="L24" s="5">
        <v>45763</v>
      </c>
      <c r="M24" s="7">
        <v>18881716.440000001</v>
      </c>
      <c r="N24" s="7">
        <v>12841455.35</v>
      </c>
      <c r="O24" s="8">
        <v>-31.99</v>
      </c>
      <c r="P24" s="8" t="str">
        <f>IF(O24&lt;0,"Below",IF(O24&gt;0,"Above","Equals"))</f>
        <v>Below</v>
      </c>
      <c r="Q24" s="4" t="s">
        <v>12</v>
      </c>
      <c r="R24" s="5">
        <v>45777</v>
      </c>
      <c r="S24" s="15" t="s">
        <v>259</v>
      </c>
      <c r="T24" s="14">
        <v>45791</v>
      </c>
      <c r="U24" s="12">
        <v>8</v>
      </c>
      <c r="V24" s="4">
        <v>859</v>
      </c>
      <c r="W24" s="14">
        <v>45826</v>
      </c>
      <c r="X24" s="4" t="s">
        <v>50</v>
      </c>
      <c r="Y24" s="13">
        <v>216</v>
      </c>
      <c r="Z24" s="26">
        <v>45981</v>
      </c>
      <c r="AA24" s="4" t="s">
        <v>302</v>
      </c>
      <c r="AB24" s="4" t="s">
        <v>312</v>
      </c>
      <c r="AC24" s="33" t="s">
        <v>785</v>
      </c>
      <c r="AD24" s="9">
        <v>643000</v>
      </c>
      <c r="AE24" s="5">
        <v>45912</v>
      </c>
      <c r="AF24" s="4" t="s">
        <v>302</v>
      </c>
      <c r="AG24" s="4" t="s">
        <v>312</v>
      </c>
      <c r="AH24" s="33" t="s">
        <v>786</v>
      </c>
      <c r="AI24" s="9">
        <v>1246000</v>
      </c>
      <c r="AJ24" s="5">
        <v>45911</v>
      </c>
      <c r="AK24" s="4">
        <v>1548</v>
      </c>
      <c r="AL24" s="14">
        <v>45981</v>
      </c>
    </row>
    <row r="25" spans="1:38" ht="58">
      <c r="A25" s="4" t="s">
        <v>50</v>
      </c>
      <c r="B25" s="4">
        <v>2</v>
      </c>
      <c r="C25" s="4">
        <v>1</v>
      </c>
      <c r="D25" s="6" t="s">
        <v>58</v>
      </c>
      <c r="E25" s="4" t="s">
        <v>10</v>
      </c>
      <c r="F25" s="4" t="str" cm="1">
        <f t="array" ref="F25">_xlfn.IFS(
  E25="Mahuva", "Mahuva",
  E25="Jesar", "Mahuva",
  E25="Palitana", "Palitana",
  E25="Gariyadhar", "Palitana",
  E25="Talaja", "Talaja",
  E25="Vallabhipur", "Vallabhipur",
  E25="Umrala", "Vallabhipur",
  E25="Shihor", "Shihor",
  E25="Ghogha", "Bhavnagar",
  E25="Bhavnagar", "Bhavnagar"
)</f>
        <v>Mahuva</v>
      </c>
      <c r="G25" s="4" t="s">
        <v>19</v>
      </c>
      <c r="H25" s="4">
        <v>180644</v>
      </c>
      <c r="I25" s="4">
        <v>1</v>
      </c>
      <c r="J25" s="5">
        <v>45778</v>
      </c>
      <c r="K25" s="5">
        <v>45789</v>
      </c>
      <c r="L25" s="5">
        <v>45790</v>
      </c>
      <c r="M25" s="7">
        <v>13447081.02</v>
      </c>
      <c r="N25" s="7">
        <v>13043668.59</v>
      </c>
      <c r="O25" s="8">
        <v>-3</v>
      </c>
      <c r="P25" s="8" t="str">
        <f>IF(O25&lt;0,"Below",IF(O25&gt;0,"Above","Equals"))</f>
        <v>Below</v>
      </c>
      <c r="Q25" s="4" t="s">
        <v>52</v>
      </c>
      <c r="R25" s="5">
        <v>45804</v>
      </c>
      <c r="S25" s="15" t="s">
        <v>201</v>
      </c>
      <c r="T25" s="14">
        <v>45810</v>
      </c>
      <c r="U25" s="12">
        <v>6</v>
      </c>
      <c r="V25" s="4">
        <v>861</v>
      </c>
      <c r="W25" s="14">
        <v>45827</v>
      </c>
      <c r="X25" s="4" t="s">
        <v>50</v>
      </c>
      <c r="Y25" s="13">
        <v>66</v>
      </c>
      <c r="Z25" s="26">
        <v>45871</v>
      </c>
      <c r="AA25" s="4" t="s">
        <v>302</v>
      </c>
      <c r="AB25" s="4" t="s">
        <v>390</v>
      </c>
      <c r="AC25" s="33" t="s">
        <v>407</v>
      </c>
      <c r="AD25" s="9">
        <v>653000</v>
      </c>
      <c r="AE25" s="5">
        <v>45859</v>
      </c>
      <c r="AF25" s="11"/>
      <c r="AG25" s="11"/>
      <c r="AI25" s="9"/>
      <c r="AJ25" s="11"/>
      <c r="AK25" s="4">
        <v>1058</v>
      </c>
      <c r="AL25" s="14">
        <v>45871</v>
      </c>
    </row>
    <row r="26" spans="1:38" ht="58">
      <c r="A26" s="4" t="s">
        <v>50</v>
      </c>
      <c r="B26" s="4">
        <v>2</v>
      </c>
      <c r="C26" s="4">
        <v>2</v>
      </c>
      <c r="D26" s="6" t="s">
        <v>59</v>
      </c>
      <c r="E26" s="4" t="s">
        <v>207</v>
      </c>
      <c r="F26" s="4" t="str" cm="1">
        <f t="array" ref="F26">_xlfn.IFS(
  E26="Mahuva", "Mahuva",
  E26="Jesar", "Mahuva",
  E26="Palitana", "Palitana",
  E26="Gariyadhar", "Palitana",
  E26="Talaja", "Talaja",
  E26="Vallabhipur", "Vallabhipur",
  E26="Umrala", "Vallabhipur",
  E26="Shihor", "Shihor",
  E26="Ghogha", "Bhavnagar",
  E26="Bhavnagar", "Bhavnagar"
)</f>
        <v>Palitana</v>
      </c>
      <c r="G26" s="4" t="s">
        <v>19</v>
      </c>
      <c r="H26" s="4">
        <v>180796</v>
      </c>
      <c r="I26" s="4">
        <v>1</v>
      </c>
      <c r="J26" s="5">
        <v>45778</v>
      </c>
      <c r="K26" s="5">
        <v>45789</v>
      </c>
      <c r="L26" s="5">
        <v>45790</v>
      </c>
      <c r="M26" s="7">
        <v>19431786.449999999</v>
      </c>
      <c r="N26" s="7">
        <v>16175019.039999999</v>
      </c>
      <c r="O26" s="8">
        <v>-16.760000000000002</v>
      </c>
      <c r="P26" s="8" t="str">
        <f>IF(O26&lt;0,"Below",IF(O26&gt;0,"Above","Equals"))</f>
        <v>Below</v>
      </c>
      <c r="Q26" s="4" t="s">
        <v>13</v>
      </c>
      <c r="R26" s="5">
        <v>45804</v>
      </c>
      <c r="S26" s="15" t="s">
        <v>200</v>
      </c>
      <c r="T26" s="14">
        <v>45810</v>
      </c>
      <c r="U26" s="12">
        <v>10</v>
      </c>
      <c r="V26" s="4">
        <v>862</v>
      </c>
      <c r="W26" s="14">
        <v>45827</v>
      </c>
      <c r="X26" s="4" t="s">
        <v>1126</v>
      </c>
      <c r="Y26" s="13">
        <v>11</v>
      </c>
      <c r="Z26" s="14">
        <v>46113</v>
      </c>
      <c r="AA26" s="4" t="s">
        <v>299</v>
      </c>
      <c r="AB26" s="4" t="s">
        <v>725</v>
      </c>
      <c r="AC26" s="33" t="s">
        <v>1155</v>
      </c>
      <c r="AD26" s="9">
        <v>809000</v>
      </c>
      <c r="AE26" s="5">
        <v>46111</v>
      </c>
      <c r="AF26" s="4" t="s">
        <v>299</v>
      </c>
      <c r="AG26" s="4" t="s">
        <v>725</v>
      </c>
      <c r="AH26" s="33" t="s">
        <v>1156</v>
      </c>
      <c r="AI26" s="9">
        <v>263000</v>
      </c>
      <c r="AJ26" s="5">
        <v>46111</v>
      </c>
      <c r="AK26" s="4">
        <v>449</v>
      </c>
      <c r="AL26" s="14">
        <v>46113</v>
      </c>
    </row>
    <row r="27" spans="1:38" ht="43.5">
      <c r="A27" s="4" t="s">
        <v>50</v>
      </c>
      <c r="B27" s="4">
        <v>2</v>
      </c>
      <c r="C27" s="4">
        <v>3</v>
      </c>
      <c r="D27" s="6" t="s">
        <v>514</v>
      </c>
      <c r="E27" s="4" t="s">
        <v>207</v>
      </c>
      <c r="F27" s="4" t="str" cm="1">
        <f t="array" ref="F27">_xlfn.IFS(
  E27="Mahuva", "Mahuva",
  E27="Jesar", "Mahuva",
  E27="Palitana", "Palitana",
  E27="Gariyadhar", "Palitana",
  E27="Talaja", "Talaja",
  E27="Vallabhipur", "Vallabhipur",
  E27="Umrala", "Vallabhipur",
  E27="Shihor", "Shihor",
  E27="Ghogha", "Bhavnagar",
  E27="Bhavnagar", "Bhavnagar"
)</f>
        <v>Palitana</v>
      </c>
      <c r="G27" s="4" t="s">
        <v>19</v>
      </c>
      <c r="H27" s="4">
        <v>180803</v>
      </c>
      <c r="I27" s="4">
        <v>1</v>
      </c>
      <c r="J27" s="5">
        <v>45778</v>
      </c>
      <c r="K27" s="5">
        <v>45789</v>
      </c>
      <c r="L27" s="5">
        <v>45790</v>
      </c>
      <c r="M27" s="7">
        <v>18362127.199999999</v>
      </c>
      <c r="N27" s="7">
        <v>15220367.24</v>
      </c>
      <c r="O27" s="8">
        <v>-17.11</v>
      </c>
      <c r="P27" s="8" t="str">
        <f>IF(O27&lt;0,"Below",IF(O27&gt;0,"Above","Equals"))</f>
        <v>Below</v>
      </c>
      <c r="Q27" s="4" t="s">
        <v>13</v>
      </c>
      <c r="R27" s="5">
        <v>45804</v>
      </c>
      <c r="S27" s="15" t="s">
        <v>197</v>
      </c>
      <c r="T27" s="14">
        <v>45810</v>
      </c>
      <c r="U27" s="12">
        <v>8</v>
      </c>
      <c r="V27" s="4">
        <v>863</v>
      </c>
      <c r="W27" s="14">
        <v>45827</v>
      </c>
      <c r="X27" s="4" t="s">
        <v>50</v>
      </c>
      <c r="Y27" s="13">
        <v>337</v>
      </c>
      <c r="Z27" s="26">
        <v>46088</v>
      </c>
      <c r="AA27" s="4" t="s">
        <v>299</v>
      </c>
      <c r="AB27" s="4" t="s">
        <v>725</v>
      </c>
      <c r="AC27" s="33" t="s">
        <v>1086</v>
      </c>
      <c r="AD27" s="9">
        <f>283000+479000</f>
        <v>762000</v>
      </c>
      <c r="AE27" s="5" t="s">
        <v>1086</v>
      </c>
      <c r="AF27" s="4" t="s">
        <v>299</v>
      </c>
      <c r="AG27" s="4" t="s">
        <v>725</v>
      </c>
      <c r="AH27" s="33" t="s">
        <v>1086</v>
      </c>
      <c r="AI27" s="9">
        <v>262000</v>
      </c>
      <c r="AJ27" s="5" t="s">
        <v>1086</v>
      </c>
      <c r="AK27" s="4">
        <v>347</v>
      </c>
      <c r="AL27" s="14">
        <v>46088</v>
      </c>
    </row>
    <row r="28" spans="1:38" ht="43.5">
      <c r="A28" s="4" t="s">
        <v>50</v>
      </c>
      <c r="B28" s="4">
        <v>2</v>
      </c>
      <c r="C28" s="4">
        <v>4</v>
      </c>
      <c r="D28" s="6" t="s">
        <v>515</v>
      </c>
      <c r="E28" s="4" t="s">
        <v>9</v>
      </c>
      <c r="F28" s="4" t="str" cm="1">
        <f t="array" ref="F28">_xlfn.IFS(
  E28="Mahuva", "Mahuva",
  E28="Jesar", "Mahuva",
  E28="Palitana", "Palitana",
  E28="Gariyadhar", "Palitana",
  E28="Talaja", "Talaja",
  E28="Vallabhipur", "Vallabhipur",
  E28="Umrala", "Vallabhipur",
  E28="Shihor", "Shihor",
  E28="Ghogha", "Bhavnagar",
  E28="Bhavnagar", "Bhavnagar"
)</f>
        <v>Vallabhipur</v>
      </c>
      <c r="G28" s="4" t="s">
        <v>19</v>
      </c>
      <c r="H28" s="4">
        <v>180808</v>
      </c>
      <c r="I28" s="4">
        <v>1</v>
      </c>
      <c r="J28" s="5">
        <v>45778</v>
      </c>
      <c r="K28" s="5">
        <v>45789</v>
      </c>
      <c r="L28" s="5">
        <v>45790</v>
      </c>
      <c r="M28" s="7">
        <v>35977034.640000001</v>
      </c>
      <c r="N28" s="7">
        <v>30569686.329999998</v>
      </c>
      <c r="O28" s="8">
        <v>-15.03</v>
      </c>
      <c r="P28" s="8" t="str">
        <f>IF(O28&lt;0,"Below",IF(O28&gt;0,"Above","Equals"))</f>
        <v>Below</v>
      </c>
      <c r="Q28" s="4" t="s">
        <v>172</v>
      </c>
      <c r="R28" s="5">
        <v>45804</v>
      </c>
      <c r="S28" s="6" t="s">
        <v>251</v>
      </c>
      <c r="T28" s="14">
        <v>45814</v>
      </c>
      <c r="U28" s="12">
        <v>10</v>
      </c>
      <c r="V28" s="4">
        <v>864</v>
      </c>
      <c r="W28" s="14">
        <v>45827</v>
      </c>
      <c r="X28" s="4" t="s">
        <v>50</v>
      </c>
      <c r="Y28" s="13">
        <v>210</v>
      </c>
      <c r="Z28" s="26">
        <v>45974</v>
      </c>
      <c r="AA28" s="4" t="s">
        <v>299</v>
      </c>
      <c r="AB28" s="4" t="s">
        <v>390</v>
      </c>
      <c r="AC28" s="33" t="s">
        <v>755</v>
      </c>
      <c r="AD28" s="9">
        <v>1529000</v>
      </c>
      <c r="AE28" s="5">
        <v>45960</v>
      </c>
      <c r="AF28" s="4" t="s">
        <v>299</v>
      </c>
      <c r="AG28" s="4" t="s">
        <v>390</v>
      </c>
      <c r="AH28" s="33" t="s">
        <v>756</v>
      </c>
      <c r="AI28" s="9">
        <v>362000</v>
      </c>
      <c r="AJ28" s="5">
        <v>45960</v>
      </c>
      <c r="AK28" s="4">
        <v>1538</v>
      </c>
      <c r="AL28" s="26">
        <v>45974</v>
      </c>
    </row>
    <row r="29" spans="1:38" ht="29">
      <c r="A29" s="4" t="s">
        <v>50</v>
      </c>
      <c r="B29" s="4">
        <v>2</v>
      </c>
      <c r="C29" s="4">
        <v>5</v>
      </c>
      <c r="D29" s="6" t="s">
        <v>516</v>
      </c>
      <c r="E29" s="4" t="s">
        <v>3</v>
      </c>
      <c r="F29" s="4" t="str" cm="1">
        <f t="array" ref="F29">_xlfn.IFS(
  E29="Mahuva", "Mahuva",
  E29="Jesar", "Mahuva",
  E29="Palitana", "Palitana",
  E29="Gariyadhar", "Palitana",
  E29="Talaja", "Talaja",
  E29="Vallabhipur", "Vallabhipur",
  E29="Umrala", "Vallabhipur",
  E29="Shihor", "Shihor",
  E29="Ghogha", "Bhavnagar",
  E29="Bhavnagar", "Bhavnagar"
)</f>
        <v>Talaja</v>
      </c>
      <c r="G29" s="4" t="s">
        <v>19</v>
      </c>
      <c r="H29" s="4">
        <v>180814</v>
      </c>
      <c r="I29" s="4">
        <v>1</v>
      </c>
      <c r="J29" s="5">
        <v>45778</v>
      </c>
      <c r="K29" s="5">
        <v>45789</v>
      </c>
      <c r="L29" s="5">
        <v>45790</v>
      </c>
      <c r="M29" s="7">
        <v>16879671.48</v>
      </c>
      <c r="N29" s="7">
        <v>14687002.15</v>
      </c>
      <c r="O29" s="8">
        <v>-12.99</v>
      </c>
      <c r="P29" s="8" t="str">
        <f>IF(O29&lt;0,"Below",IF(O29&gt;0,"Above","Equals"))</f>
        <v>Below</v>
      </c>
      <c r="Q29" s="4" t="s">
        <v>52</v>
      </c>
      <c r="R29" s="5">
        <v>45804</v>
      </c>
      <c r="S29" s="15" t="s">
        <v>198</v>
      </c>
      <c r="T29" s="14">
        <v>45810</v>
      </c>
      <c r="U29" s="12">
        <v>10</v>
      </c>
      <c r="V29" s="4">
        <v>865</v>
      </c>
      <c r="W29" s="14">
        <v>45827</v>
      </c>
      <c r="X29" s="4" t="s">
        <v>50</v>
      </c>
      <c r="Y29" s="13">
        <v>72</v>
      </c>
      <c r="Z29" s="26">
        <v>45877</v>
      </c>
      <c r="AA29" s="4" t="s">
        <v>302</v>
      </c>
      <c r="AB29" s="4" t="s">
        <v>390</v>
      </c>
      <c r="AC29" s="33" t="s">
        <v>528</v>
      </c>
      <c r="AD29" s="9">
        <v>735000</v>
      </c>
      <c r="AE29" s="5">
        <v>45859</v>
      </c>
      <c r="AF29" s="4" t="s">
        <v>302</v>
      </c>
      <c r="AG29" s="4" t="s">
        <v>390</v>
      </c>
      <c r="AH29" s="33" t="s">
        <v>529</v>
      </c>
      <c r="AI29" s="9">
        <v>101000</v>
      </c>
      <c r="AJ29" s="5">
        <v>45859</v>
      </c>
      <c r="AK29" s="4">
        <v>1050</v>
      </c>
      <c r="AL29" s="14">
        <v>45877</v>
      </c>
    </row>
    <row r="30" spans="1:38" ht="29">
      <c r="A30" s="4" t="s">
        <v>50</v>
      </c>
      <c r="B30" s="4">
        <v>2</v>
      </c>
      <c r="C30" s="4">
        <v>6</v>
      </c>
      <c r="D30" s="6" t="s">
        <v>517</v>
      </c>
      <c r="E30" s="4" t="s">
        <v>3</v>
      </c>
      <c r="F30" s="4" t="str" cm="1">
        <f t="array" ref="F30">_xlfn.IFS(
  E30="Mahuva", "Mahuva",
  E30="Jesar", "Mahuva",
  E30="Palitana", "Palitana",
  E30="Gariyadhar", "Palitana",
  E30="Talaja", "Talaja",
  E30="Vallabhipur", "Vallabhipur",
  E30="Umrala", "Vallabhipur",
  E30="Shihor", "Shihor",
  E30="Ghogha", "Bhavnagar",
  E30="Bhavnagar", "Bhavnagar"
)</f>
        <v>Talaja</v>
      </c>
      <c r="G30" s="4" t="s">
        <v>19</v>
      </c>
      <c r="H30" s="4">
        <v>180825</v>
      </c>
      <c r="I30" s="4">
        <v>1</v>
      </c>
      <c r="J30" s="5">
        <v>45778</v>
      </c>
      <c r="K30" s="5">
        <v>45789</v>
      </c>
      <c r="L30" s="5">
        <v>45790</v>
      </c>
      <c r="M30" s="7">
        <v>15690763.65</v>
      </c>
      <c r="N30" s="7">
        <v>12747176.390000001</v>
      </c>
      <c r="O30" s="8">
        <v>-18.760000000000002</v>
      </c>
      <c r="P30" s="8" t="str">
        <f>IF(O30&lt;0,"Below",IF(O30&gt;0,"Above","Equals"))</f>
        <v>Below</v>
      </c>
      <c r="Q30" s="4" t="s">
        <v>13</v>
      </c>
      <c r="R30" s="5">
        <v>45804</v>
      </c>
      <c r="S30" s="15" t="s">
        <v>202</v>
      </c>
      <c r="T30" s="14">
        <v>45810</v>
      </c>
      <c r="U30" s="12">
        <v>8</v>
      </c>
      <c r="V30" s="4">
        <v>866</v>
      </c>
      <c r="W30" s="14">
        <v>45827</v>
      </c>
      <c r="X30" s="4"/>
      <c r="Y30" s="13"/>
      <c r="Z30" s="14"/>
      <c r="AA30" s="4"/>
      <c r="AB30" s="4"/>
      <c r="AD30" s="9"/>
      <c r="AE30" s="5"/>
      <c r="AF30" s="4"/>
      <c r="AG30" s="4"/>
      <c r="AI30" s="9"/>
      <c r="AJ30" s="5"/>
      <c r="AK30" s="4"/>
    </row>
    <row r="31" spans="1:38" ht="43.5">
      <c r="A31" s="4" t="s">
        <v>50</v>
      </c>
      <c r="B31" s="4">
        <v>2</v>
      </c>
      <c r="C31" s="4">
        <v>7</v>
      </c>
      <c r="D31" s="6" t="s">
        <v>518</v>
      </c>
      <c r="E31" s="4" t="s">
        <v>207</v>
      </c>
      <c r="F31" s="4" t="str" cm="1">
        <f t="array" ref="F31">_xlfn.IFS(
  E31="Mahuva", "Mahuva",
  E31="Jesar", "Mahuva",
  E31="Palitana", "Palitana",
  E31="Gariyadhar", "Palitana",
  E31="Talaja", "Talaja",
  E31="Vallabhipur", "Vallabhipur",
  E31="Umrala", "Vallabhipur",
  E31="Shihor", "Shihor",
  E31="Ghogha", "Bhavnagar",
  E31="Bhavnagar", "Bhavnagar"
)</f>
        <v>Palitana</v>
      </c>
      <c r="G31" s="4" t="s">
        <v>19</v>
      </c>
      <c r="H31" s="4">
        <v>180832</v>
      </c>
      <c r="I31" s="4">
        <v>1</v>
      </c>
      <c r="J31" s="5">
        <v>45778</v>
      </c>
      <c r="K31" s="5">
        <v>45789</v>
      </c>
      <c r="L31" s="5">
        <v>45790</v>
      </c>
      <c r="M31" s="7">
        <v>11333888.539999999</v>
      </c>
      <c r="N31" s="7">
        <v>9573735.6500000004</v>
      </c>
      <c r="O31" s="8">
        <v>-15.53</v>
      </c>
      <c r="P31" s="8" t="str">
        <f>IF(O31&lt;0,"Below",IF(O31&gt;0,"Above","Equals"))</f>
        <v>Below</v>
      </c>
      <c r="Q31" s="4" t="s">
        <v>13</v>
      </c>
      <c r="R31" s="5">
        <v>45804</v>
      </c>
      <c r="S31" s="15" t="s">
        <v>205</v>
      </c>
      <c r="T31" s="14">
        <v>45810</v>
      </c>
      <c r="U31" s="12">
        <v>8</v>
      </c>
      <c r="V31" s="4">
        <v>867</v>
      </c>
      <c r="W31" s="14">
        <v>45827</v>
      </c>
      <c r="X31" s="4" t="s">
        <v>1126</v>
      </c>
      <c r="Y31" s="13">
        <v>12</v>
      </c>
      <c r="Z31" s="14">
        <v>46113</v>
      </c>
      <c r="AA31" s="4" t="s">
        <v>299</v>
      </c>
      <c r="AB31" s="4" t="s">
        <v>725</v>
      </c>
      <c r="AC31" s="33" t="s">
        <v>1157</v>
      </c>
      <c r="AD31" s="9">
        <v>479000</v>
      </c>
      <c r="AE31" s="5">
        <v>46111</v>
      </c>
      <c r="AF31" s="4" t="s">
        <v>299</v>
      </c>
      <c r="AG31" s="4" t="s">
        <v>725</v>
      </c>
      <c r="AH31" s="33" t="s">
        <v>1158</v>
      </c>
      <c r="AI31" s="9">
        <v>126000</v>
      </c>
      <c r="AJ31" s="5">
        <v>46111</v>
      </c>
      <c r="AK31" s="4">
        <v>450</v>
      </c>
      <c r="AL31" s="14">
        <v>46113</v>
      </c>
    </row>
    <row r="32" spans="1:38" ht="43.5">
      <c r="A32" s="4" t="s">
        <v>50</v>
      </c>
      <c r="B32" s="4">
        <v>2</v>
      </c>
      <c r="C32" s="4">
        <v>8</v>
      </c>
      <c r="D32" s="6" t="s">
        <v>519</v>
      </c>
      <c r="E32" s="4" t="s">
        <v>3</v>
      </c>
      <c r="F32" s="4" t="str" cm="1">
        <f t="array" ref="F32">_xlfn.IFS(
  E32="Mahuva", "Mahuva",
  E32="Jesar", "Mahuva",
  E32="Palitana", "Palitana",
  E32="Gariyadhar", "Palitana",
  E32="Talaja", "Talaja",
  E32="Vallabhipur", "Vallabhipur",
  E32="Umrala", "Vallabhipur",
  E32="Shihor", "Shihor",
  E32="Ghogha", "Bhavnagar",
  E32="Bhavnagar", "Bhavnagar"
)</f>
        <v>Talaja</v>
      </c>
      <c r="G32" s="4" t="s">
        <v>19</v>
      </c>
      <c r="H32" s="4">
        <v>180651</v>
      </c>
      <c r="I32" s="4">
        <v>1</v>
      </c>
      <c r="J32" s="5">
        <v>45778</v>
      </c>
      <c r="K32" s="5">
        <v>45789</v>
      </c>
      <c r="L32" s="5">
        <v>45790</v>
      </c>
      <c r="M32" s="7">
        <v>13577420.949999999</v>
      </c>
      <c r="N32" s="7">
        <v>9505552.4100000001</v>
      </c>
      <c r="O32" s="8">
        <v>-29.99</v>
      </c>
      <c r="P32" s="8" t="str">
        <f>IF(O32&lt;0,"Below",IF(O32&gt;0,"Above","Equals"))</f>
        <v>Below</v>
      </c>
      <c r="Q32" s="4" t="s">
        <v>175</v>
      </c>
      <c r="R32" s="5">
        <v>45804</v>
      </c>
      <c r="S32" s="15" t="s">
        <v>195</v>
      </c>
      <c r="T32" s="14">
        <v>45810</v>
      </c>
      <c r="U32" s="12">
        <v>6</v>
      </c>
      <c r="V32" s="4">
        <v>868</v>
      </c>
      <c r="W32" s="14">
        <v>45827</v>
      </c>
      <c r="X32" s="4" t="s">
        <v>50</v>
      </c>
      <c r="Y32" s="13">
        <v>74</v>
      </c>
      <c r="Z32" s="26">
        <v>45877</v>
      </c>
      <c r="AA32" s="4" t="s">
        <v>299</v>
      </c>
      <c r="AB32" s="4" t="s">
        <v>390</v>
      </c>
      <c r="AC32" s="33" t="s">
        <v>547</v>
      </c>
      <c r="AD32" s="9">
        <v>476000</v>
      </c>
      <c r="AE32" s="5">
        <v>45869</v>
      </c>
      <c r="AF32" s="4" t="s">
        <v>299</v>
      </c>
      <c r="AG32" s="4" t="s">
        <v>390</v>
      </c>
      <c r="AH32" s="33" t="s">
        <v>548</v>
      </c>
      <c r="AI32" s="9">
        <v>815000</v>
      </c>
      <c r="AJ32" s="11">
        <v>45863</v>
      </c>
      <c r="AK32" s="4">
        <v>1052</v>
      </c>
      <c r="AL32" s="14">
        <v>45877</v>
      </c>
    </row>
    <row r="33" spans="1:38" ht="29">
      <c r="A33" s="4" t="s">
        <v>50</v>
      </c>
      <c r="B33" s="4">
        <v>2</v>
      </c>
      <c r="C33" s="4">
        <v>9</v>
      </c>
      <c r="D33" s="6" t="s">
        <v>623</v>
      </c>
      <c r="E33" s="4" t="s">
        <v>1</v>
      </c>
      <c r="F33" s="4" t="str" cm="1">
        <f t="array" ref="F33">_xlfn.IFS(
  E33="Mahuva", "Mahuva",
  E33="Jesar", "Mahuva",
  E33="Palitana", "Palitana",
  E33="Gariyadhar", "Palitana",
  E33="Talaja", "Talaja",
  E33="Vallabhipur", "Vallabhipur",
  E33="Umrala", "Vallabhipur",
  E33="Shihor", "Shihor",
  E33="Ghogha", "Bhavnagar",
  E33="Bhavnagar", "Bhavnagar"
)</f>
        <v>Vallabhipur</v>
      </c>
      <c r="G33" s="4" t="s">
        <v>19</v>
      </c>
      <c r="H33" s="4">
        <v>180840</v>
      </c>
      <c r="I33" s="4">
        <v>1</v>
      </c>
      <c r="J33" s="5">
        <v>45778</v>
      </c>
      <c r="K33" s="5">
        <v>45789</v>
      </c>
      <c r="L33" s="5">
        <v>45790</v>
      </c>
      <c r="M33" s="7">
        <v>15863200.939999999</v>
      </c>
      <c r="N33" s="7">
        <v>14078590.83</v>
      </c>
      <c r="O33" s="8">
        <v>-11.25</v>
      </c>
      <c r="P33" s="8" t="str">
        <f>IF(O33&lt;0,"Below",IF(O33&gt;0,"Above","Equals"))</f>
        <v>Below</v>
      </c>
      <c r="Q33" s="4" t="s">
        <v>176</v>
      </c>
      <c r="R33" s="5">
        <v>45804</v>
      </c>
      <c r="S33" s="15" t="s">
        <v>194</v>
      </c>
      <c r="T33" s="14">
        <v>45810</v>
      </c>
      <c r="U33" s="12">
        <v>8</v>
      </c>
      <c r="V33" s="4">
        <v>869</v>
      </c>
      <c r="W33" s="14">
        <v>45827</v>
      </c>
      <c r="X33" s="4" t="s">
        <v>50</v>
      </c>
      <c r="Y33" s="13">
        <v>89</v>
      </c>
      <c r="Z33" s="26">
        <v>45887</v>
      </c>
      <c r="AA33" s="4" t="s">
        <v>299</v>
      </c>
      <c r="AB33" s="4" t="s">
        <v>312</v>
      </c>
      <c r="AC33" s="33">
        <v>44345147183</v>
      </c>
      <c r="AD33" s="9">
        <v>704000</v>
      </c>
      <c r="AE33" s="5">
        <v>45873</v>
      </c>
      <c r="AF33" s="4" t="s">
        <v>299</v>
      </c>
      <c r="AG33" s="4" t="s">
        <v>312</v>
      </c>
      <c r="AH33" s="33">
        <v>44345136001</v>
      </c>
      <c r="AI33" s="9">
        <v>40000</v>
      </c>
      <c r="AJ33" s="5">
        <v>45873</v>
      </c>
      <c r="AK33" s="4">
        <v>1168</v>
      </c>
      <c r="AL33" s="14">
        <v>45887</v>
      </c>
    </row>
    <row r="34" spans="1:38" ht="43.5">
      <c r="A34" s="4" t="s">
        <v>50</v>
      </c>
      <c r="B34" s="4">
        <v>2</v>
      </c>
      <c r="C34" s="4">
        <v>10</v>
      </c>
      <c r="D34" s="6" t="s">
        <v>177</v>
      </c>
      <c r="E34" s="4" t="s">
        <v>228</v>
      </c>
      <c r="F34" s="4" t="str" cm="1">
        <f t="array" ref="F34">_xlfn.IFS(
  E34="Mahuva", "Mahuva",
  E34="Jesar", "Mahuva",
  E34="Palitana", "Palitana",
  E34="Gariyadhar", "Palitana",
  E34="Talaja", "Talaja",
  E34="Vallabhipur", "Vallabhipur",
  E34="Umrala", "Vallabhipur",
  E34="Shihor", "Shihor",
  E34="Ghogha", "Bhavnagar",
  E34="Bhavnagar", "Bhavnagar"
)</f>
        <v>Mahuva</v>
      </c>
      <c r="G34" s="4" t="s">
        <v>19</v>
      </c>
      <c r="H34" s="4">
        <v>180844</v>
      </c>
      <c r="I34" s="4">
        <v>1</v>
      </c>
      <c r="J34" s="5">
        <v>45778</v>
      </c>
      <c r="K34" s="5">
        <v>45789</v>
      </c>
      <c r="L34" s="5">
        <v>45790</v>
      </c>
      <c r="M34" s="7">
        <v>23183208.690000001</v>
      </c>
      <c r="N34" s="7">
        <v>19107600.600000001</v>
      </c>
      <c r="O34" s="8">
        <v>-17.579999999999998</v>
      </c>
      <c r="P34" s="8" t="str">
        <f>IF(O34&lt;0,"Below",IF(O34&gt;0,"Above","Equals"))</f>
        <v>Below</v>
      </c>
      <c r="Q34" s="4" t="s">
        <v>13</v>
      </c>
      <c r="R34" s="5">
        <v>45804</v>
      </c>
      <c r="S34" s="6" t="s">
        <v>252</v>
      </c>
      <c r="T34" s="14">
        <v>45813</v>
      </c>
      <c r="U34" s="12">
        <v>8</v>
      </c>
      <c r="V34" s="4">
        <v>870</v>
      </c>
      <c r="W34" s="14">
        <v>45827</v>
      </c>
      <c r="X34" s="4" t="s">
        <v>1126</v>
      </c>
      <c r="Y34" s="13">
        <v>13</v>
      </c>
      <c r="Z34" s="14">
        <v>46113</v>
      </c>
      <c r="AA34" s="4" t="s">
        <v>299</v>
      </c>
      <c r="AB34" s="4" t="s">
        <v>725</v>
      </c>
      <c r="AC34" s="33" t="s">
        <v>1159</v>
      </c>
      <c r="AD34" s="9">
        <v>965000</v>
      </c>
      <c r="AE34" s="5">
        <v>46111</v>
      </c>
      <c r="AF34" s="4" t="s">
        <v>299</v>
      </c>
      <c r="AG34" s="4" t="s">
        <v>725</v>
      </c>
      <c r="AH34" s="33" t="s">
        <v>1160</v>
      </c>
      <c r="AI34" s="9">
        <v>352000</v>
      </c>
      <c r="AJ34" s="5">
        <v>46111</v>
      </c>
      <c r="AK34" s="4">
        <v>448</v>
      </c>
      <c r="AL34" s="14">
        <v>46113</v>
      </c>
    </row>
    <row r="35" spans="1:38" ht="43.5">
      <c r="A35" s="4" t="s">
        <v>50</v>
      </c>
      <c r="B35" s="4">
        <v>2</v>
      </c>
      <c r="C35" s="4">
        <v>11</v>
      </c>
      <c r="D35" s="6" t="s">
        <v>520</v>
      </c>
      <c r="E35" s="4" t="s">
        <v>11</v>
      </c>
      <c r="F35" s="4" t="str" cm="1">
        <f t="array" ref="F35">_xlfn.IFS(
  E35="Mahuva", "Mahuva",
  E35="Jesar", "Mahuva",
  E35="Palitana", "Palitana",
  E35="Gariyadhar", "Palitana",
  E35="Talaja", "Talaja",
  E35="Vallabhipur", "Vallabhipur",
  E35="Umrala", "Vallabhipur",
  E35="Shihor", "Shihor",
  E35="Ghogha", "Bhavnagar",
  E35="Bhavnagar", "Bhavnagar"
)</f>
        <v>Shihor</v>
      </c>
      <c r="G35" s="4" t="s">
        <v>19</v>
      </c>
      <c r="H35" s="4">
        <v>180848</v>
      </c>
      <c r="I35" s="4">
        <v>1</v>
      </c>
      <c r="J35" s="5">
        <v>45778</v>
      </c>
      <c r="K35" s="5">
        <v>45789</v>
      </c>
      <c r="L35" s="5">
        <v>45790</v>
      </c>
      <c r="M35" s="7">
        <v>44204292.450000003</v>
      </c>
      <c r="N35" s="7">
        <v>38842311.780000001</v>
      </c>
      <c r="O35" s="8">
        <v>-12.13</v>
      </c>
      <c r="P35" s="8" t="str">
        <f>IF(O35&lt;0,"Below",IF(O35&gt;0,"Above","Equals"))</f>
        <v>Below</v>
      </c>
      <c r="Q35" s="4" t="s">
        <v>178</v>
      </c>
      <c r="R35" s="5">
        <v>45804</v>
      </c>
      <c r="S35" s="6" t="s">
        <v>255</v>
      </c>
      <c r="T35" s="14">
        <v>45825</v>
      </c>
      <c r="U35" s="12">
        <v>10</v>
      </c>
      <c r="V35" s="4">
        <v>873</v>
      </c>
      <c r="W35" s="14">
        <v>45829</v>
      </c>
      <c r="X35" s="4" t="s">
        <v>50</v>
      </c>
      <c r="Y35" s="13">
        <v>202</v>
      </c>
      <c r="Z35" s="26">
        <v>45971</v>
      </c>
      <c r="AA35" s="4" t="s">
        <v>299</v>
      </c>
      <c r="AB35" s="4" t="s">
        <v>647</v>
      </c>
      <c r="AC35" s="33" t="s">
        <v>738</v>
      </c>
      <c r="AD35" s="9">
        <v>1943000</v>
      </c>
      <c r="AE35" s="5">
        <v>45959</v>
      </c>
      <c r="AF35" s="4" t="s">
        <v>299</v>
      </c>
      <c r="AG35" s="4" t="s">
        <v>647</v>
      </c>
      <c r="AH35" s="33" t="s">
        <v>739</v>
      </c>
      <c r="AI35" s="9">
        <v>189000</v>
      </c>
      <c r="AJ35" s="5">
        <v>45959</v>
      </c>
      <c r="AK35" s="4">
        <v>1510</v>
      </c>
      <c r="AL35" s="26">
        <v>45971</v>
      </c>
    </row>
    <row r="36" spans="1:38" ht="58">
      <c r="A36" s="4" t="s">
        <v>50</v>
      </c>
      <c r="B36" s="4">
        <v>2</v>
      </c>
      <c r="C36" s="4">
        <v>12</v>
      </c>
      <c r="D36" s="6" t="s">
        <v>521</v>
      </c>
      <c r="E36" s="4" t="s">
        <v>0</v>
      </c>
      <c r="F36" s="4" t="str" cm="1">
        <f t="array" ref="F36">_xlfn.IFS(
  E36="Mahuva", "Mahuva",
  E36="Jesar", "Mahuva",
  E36="Palitana", "Palitana",
  E36="Gariyadhar", "Palitana",
  E36="Talaja", "Talaja",
  E36="Vallabhipur", "Vallabhipur",
  E36="Umrala", "Vallabhipur",
  E36="Shihor", "Shihor",
  E36="Ghogha", "Bhavnagar",
  E36="Bhavnagar", "Bhavnagar"
)</f>
        <v>Bhavnagar</v>
      </c>
      <c r="G36" s="4" t="s">
        <v>19</v>
      </c>
      <c r="H36" s="4">
        <v>180705</v>
      </c>
      <c r="I36" s="4">
        <v>1</v>
      </c>
      <c r="J36" s="5">
        <v>45778</v>
      </c>
      <c r="K36" s="5">
        <v>45789</v>
      </c>
      <c r="L36" s="5">
        <v>45790</v>
      </c>
      <c r="M36" s="7">
        <v>18127674.920000002</v>
      </c>
      <c r="N36" s="7">
        <v>16088311.49</v>
      </c>
      <c r="O36" s="8">
        <v>-11.25</v>
      </c>
      <c r="P36" s="8" t="str">
        <f>IF(O36&lt;0,"Below",IF(O36&gt;0,"Above","Equals"))</f>
        <v>Below</v>
      </c>
      <c r="Q36" s="4" t="s">
        <v>176</v>
      </c>
      <c r="R36" s="5">
        <v>45804</v>
      </c>
      <c r="S36" s="15" t="s">
        <v>204</v>
      </c>
      <c r="T36" s="14">
        <v>45810</v>
      </c>
      <c r="U36" s="12">
        <v>8</v>
      </c>
      <c r="V36" s="4">
        <v>874</v>
      </c>
      <c r="W36" s="14">
        <v>45829</v>
      </c>
      <c r="X36" s="4" t="s">
        <v>50</v>
      </c>
      <c r="Y36" s="13">
        <v>63</v>
      </c>
      <c r="Z36" s="26">
        <v>45857</v>
      </c>
      <c r="AA36" s="4" t="s">
        <v>299</v>
      </c>
      <c r="AB36" s="4" t="s">
        <v>312</v>
      </c>
      <c r="AC36" s="33">
        <v>44288079123</v>
      </c>
      <c r="AD36" s="9">
        <v>805000</v>
      </c>
      <c r="AE36" s="5">
        <v>45855</v>
      </c>
      <c r="AF36" s="4" t="s">
        <v>299</v>
      </c>
      <c r="AG36" s="4" t="s">
        <v>312</v>
      </c>
      <c r="AH36" s="33">
        <v>44288012760</v>
      </c>
      <c r="AI36" s="9">
        <v>46000</v>
      </c>
      <c r="AJ36" s="5">
        <v>45855</v>
      </c>
      <c r="AK36" s="4">
        <v>999</v>
      </c>
      <c r="AL36" s="14">
        <v>45917</v>
      </c>
    </row>
    <row r="37" spans="1:38" ht="43.5">
      <c r="A37" s="4" t="s">
        <v>50</v>
      </c>
      <c r="B37" s="4">
        <v>2</v>
      </c>
      <c r="C37" s="4">
        <v>13</v>
      </c>
      <c r="D37" s="6" t="s">
        <v>283</v>
      </c>
      <c r="E37" s="4" t="s">
        <v>279</v>
      </c>
      <c r="F37" s="4" t="str" cm="1">
        <f t="array" ref="F37">_xlfn.IFS(
  E37="Mahuva", "Mahuva",
  E37="Jesar", "Mahuva",
  E37="Palitana", "Palitana",
  E37="Gariyadhar", "Palitana",
  E37="Talaja", "Talaja",
  E37="Vallabhipur", "Vallabhipur",
  E37="Umrala", "Vallabhipur",
  E37="Shihor", "Shihor",
  E37="Ghogha", "Bhavnagar",
  E37="Bhavnagar", "Bhavnagar"
)</f>
        <v>Bhavnagar</v>
      </c>
      <c r="G37" s="4" t="s">
        <v>19</v>
      </c>
      <c r="H37" s="4">
        <v>180856</v>
      </c>
      <c r="I37" s="4">
        <v>1</v>
      </c>
      <c r="J37" s="5">
        <v>45778</v>
      </c>
      <c r="K37" s="5">
        <v>45789</v>
      </c>
      <c r="L37" s="5">
        <v>45790</v>
      </c>
      <c r="M37" s="7">
        <v>15081719.609999999</v>
      </c>
      <c r="N37" s="7">
        <v>13271913.26</v>
      </c>
      <c r="O37" s="8">
        <v>-12</v>
      </c>
      <c r="P37" s="8" t="str">
        <f>IF(O37&lt;0,"Below",IF(O37&gt;0,"Above","Equals"))</f>
        <v>Below</v>
      </c>
      <c r="Q37" s="4" t="s">
        <v>52</v>
      </c>
      <c r="R37" s="5">
        <v>45804</v>
      </c>
      <c r="S37" s="15" t="s">
        <v>199</v>
      </c>
      <c r="T37" s="14">
        <v>45810</v>
      </c>
      <c r="U37" s="12">
        <v>8</v>
      </c>
      <c r="V37" s="4">
        <v>875</v>
      </c>
      <c r="W37" s="14">
        <v>45829</v>
      </c>
      <c r="X37" s="4" t="s">
        <v>50</v>
      </c>
      <c r="Y37" s="13">
        <v>65</v>
      </c>
      <c r="Z37" s="26">
        <v>45871</v>
      </c>
      <c r="AA37" s="4" t="s">
        <v>302</v>
      </c>
      <c r="AB37" s="4" t="s">
        <v>390</v>
      </c>
      <c r="AC37" s="33" t="s">
        <v>405</v>
      </c>
      <c r="AD37" s="9">
        <v>664000</v>
      </c>
      <c r="AE37" s="5">
        <v>45859</v>
      </c>
      <c r="AF37" s="4" t="s">
        <v>302</v>
      </c>
      <c r="AG37" s="4" t="s">
        <v>390</v>
      </c>
      <c r="AH37" s="33" t="s">
        <v>406</v>
      </c>
      <c r="AI37" s="9">
        <v>61000</v>
      </c>
      <c r="AJ37" s="5">
        <v>45859</v>
      </c>
      <c r="AK37" s="4">
        <v>1057</v>
      </c>
      <c r="AL37" s="14">
        <v>45871</v>
      </c>
    </row>
    <row r="38" spans="1:38" ht="43.5">
      <c r="A38" s="4" t="str">
        <f>A37</f>
        <v>2025-26</v>
      </c>
      <c r="B38" s="4">
        <f>B37</f>
        <v>2</v>
      </c>
      <c r="C38" s="4">
        <f>C37+1</f>
        <v>14</v>
      </c>
      <c r="D38" s="6" t="s">
        <v>1181</v>
      </c>
      <c r="E38" s="4" t="s">
        <v>10</v>
      </c>
      <c r="F38" s="4" t="str" cm="1">
        <f t="array" ref="F38">_xlfn.IFS(
  E38="Mahuva", "Mahuva",
  E38="Jesar", "Mahuva",
  E38="Palitana", "Palitana",
  E38="Gariyadhar", "Palitana",
  E38="Talaja", "Talaja",
  E38="Vallabhipur", "Vallabhipur",
  E38="Umrala", "Vallabhipur",
  E38="Shihor", "Shihor",
  E38="Ghogha", "Bhavnagar",
  E38="Bhavnagar", "Bhavnagar"
)</f>
        <v>Mahuva</v>
      </c>
      <c r="G38" s="4" t="s">
        <v>19</v>
      </c>
      <c r="H38" s="4">
        <v>293822</v>
      </c>
      <c r="I38" s="4"/>
      <c r="M38" s="7">
        <v>21135420.5</v>
      </c>
      <c r="N38" s="7">
        <v>21839230</v>
      </c>
      <c r="O38" s="8">
        <v>3.33</v>
      </c>
      <c r="P38" s="8" t="str">
        <f>IF(O38&lt;0,"Below",IF(O38&gt;0,"Above","Equals"))</f>
        <v>Above</v>
      </c>
      <c r="Q38" s="4" t="s">
        <v>1143</v>
      </c>
      <c r="R38" s="5">
        <v>46155</v>
      </c>
      <c r="S38" s="15"/>
      <c r="U38" s="12"/>
      <c r="V38" s="4"/>
      <c r="X38" s="4"/>
      <c r="Y38" s="13"/>
      <c r="Z38" s="13"/>
      <c r="AA38" s="4"/>
      <c r="AB38" s="4"/>
      <c r="AD38" s="9"/>
      <c r="AE38" s="5"/>
      <c r="AF38" s="11"/>
      <c r="AG38" s="11"/>
      <c r="AI38" s="9"/>
      <c r="AJ38" s="11"/>
      <c r="AK38" s="4"/>
    </row>
    <row r="39" spans="1:38" ht="76.75" customHeight="1">
      <c r="A39" s="4" t="s">
        <v>50</v>
      </c>
      <c r="B39" s="4">
        <v>2</v>
      </c>
      <c r="C39" s="4">
        <v>14</v>
      </c>
      <c r="D39" s="6" t="s">
        <v>522</v>
      </c>
      <c r="E39" s="4" t="s">
        <v>10</v>
      </c>
      <c r="F39" s="4" t="str" cm="1">
        <f t="array" ref="F39">_xlfn.IFS(
  E39="Mahuva", "Mahuva",
  E39="Jesar", "Mahuva",
  E39="Palitana", "Palitana",
  E39="Gariyadhar", "Palitana",
  E39="Talaja", "Talaja",
  E39="Vallabhipur", "Vallabhipur",
  E39="Umrala", "Vallabhipur",
  E39="Shihor", "Shihor",
  E39="Ghogha", "Bhavnagar",
  E39="Bhavnagar", "Bhavnagar"
)</f>
        <v>Mahuva</v>
      </c>
      <c r="G39" s="4" t="s">
        <v>19</v>
      </c>
      <c r="H39" s="4">
        <v>180716</v>
      </c>
      <c r="I39" s="4">
        <v>1</v>
      </c>
      <c r="J39" s="5">
        <v>45778</v>
      </c>
      <c r="K39" s="5">
        <v>45789</v>
      </c>
      <c r="L39" s="5">
        <v>45790</v>
      </c>
      <c r="O39" s="8"/>
      <c r="P39" s="8" t="str">
        <f>IF(O39&lt;0,"Below",IF(O39&gt;0,"Above","Equals"))</f>
        <v>Equals</v>
      </c>
      <c r="R39" s="5"/>
      <c r="S39" s="6"/>
      <c r="U39" s="12"/>
      <c r="V39" s="4"/>
      <c r="X39" s="4"/>
      <c r="Y39" s="13"/>
      <c r="Z39" s="13"/>
      <c r="AA39" s="4"/>
      <c r="AB39" s="4"/>
      <c r="AD39" s="9"/>
      <c r="AE39" s="5"/>
      <c r="AF39" s="11"/>
      <c r="AG39" s="11"/>
      <c r="AI39" s="9"/>
      <c r="AJ39" s="11"/>
      <c r="AK39" s="4"/>
    </row>
    <row r="40" spans="1:38" ht="163.25" customHeight="1">
      <c r="A40" s="4" t="s">
        <v>50</v>
      </c>
      <c r="B40" s="4">
        <v>2</v>
      </c>
      <c r="C40" s="4">
        <v>15</v>
      </c>
      <c r="D40" s="6" t="s">
        <v>282</v>
      </c>
      <c r="E40" s="4" t="s">
        <v>10</v>
      </c>
      <c r="F40" s="4" t="str" cm="1">
        <f t="array" ref="F40">_xlfn.IFS(
  E40="Mahuva", "Mahuva",
  E40="Jesar", "Mahuva",
  E40="Palitana", "Palitana",
  E40="Gariyadhar", "Palitana",
  E40="Talaja", "Talaja",
  E40="Vallabhipur", "Vallabhipur",
  E40="Umrala", "Vallabhipur",
  E40="Shihor", "Shihor",
  E40="Ghogha", "Bhavnagar",
  E40="Bhavnagar", "Bhavnagar"
)</f>
        <v>Mahuva</v>
      </c>
      <c r="G40" s="4" t="s">
        <v>19</v>
      </c>
      <c r="H40" s="4">
        <v>180728</v>
      </c>
      <c r="I40" s="4">
        <v>1</v>
      </c>
      <c r="J40" s="5">
        <v>45778</v>
      </c>
      <c r="K40" s="5">
        <v>45789</v>
      </c>
      <c r="L40" s="5">
        <v>45790</v>
      </c>
      <c r="M40" s="7">
        <v>5574164.5300000003</v>
      </c>
      <c r="N40" s="7">
        <v>6187322.6299999999</v>
      </c>
      <c r="O40" s="8">
        <v>11</v>
      </c>
      <c r="P40" s="8" t="str">
        <f>IF(O40&lt;0,"Below",IF(O40&gt;0,"Above","Equals"))</f>
        <v>Above</v>
      </c>
      <c r="Q40" s="4" t="s">
        <v>16</v>
      </c>
      <c r="R40" s="5">
        <v>45804</v>
      </c>
      <c r="S40" s="15" t="s">
        <v>281</v>
      </c>
      <c r="T40" s="14">
        <v>45818</v>
      </c>
      <c r="U40" s="12">
        <v>4</v>
      </c>
      <c r="V40" s="4">
        <v>876</v>
      </c>
      <c r="W40" s="14">
        <v>45829</v>
      </c>
      <c r="X40" s="4" t="s">
        <v>50</v>
      </c>
      <c r="Y40" s="13">
        <v>238</v>
      </c>
      <c r="Z40" s="26">
        <v>46004</v>
      </c>
      <c r="AA40" s="4" t="s">
        <v>302</v>
      </c>
      <c r="AB40" s="4" t="s">
        <v>541</v>
      </c>
      <c r="AC40" s="33" t="s">
        <v>825</v>
      </c>
      <c r="AD40" s="9">
        <v>310000</v>
      </c>
      <c r="AE40" s="5">
        <v>45971</v>
      </c>
      <c r="AF40" s="11"/>
      <c r="AG40" s="11"/>
      <c r="AI40" s="9"/>
      <c r="AJ40" s="11"/>
      <c r="AK40" s="4">
        <v>1704</v>
      </c>
      <c r="AL40" s="14">
        <v>46004</v>
      </c>
    </row>
    <row r="41" spans="1:38" ht="85.75" customHeight="1">
      <c r="A41" s="4" t="s">
        <v>50</v>
      </c>
      <c r="B41" s="4">
        <v>2</v>
      </c>
      <c r="C41" s="4">
        <v>16</v>
      </c>
      <c r="D41" s="6" t="s">
        <v>284</v>
      </c>
      <c r="E41" s="4" t="s">
        <v>10</v>
      </c>
      <c r="F41" s="4" t="str" cm="1">
        <f t="array" ref="F41">_xlfn.IFS(
  E41="Mahuva", "Mahuva",
  E41="Jesar", "Mahuva",
  E41="Palitana", "Palitana",
  E41="Gariyadhar", "Palitana",
  E41="Talaja", "Talaja",
  E41="Vallabhipur", "Vallabhipur",
  E41="Umrala", "Vallabhipur",
  E41="Shihor", "Shihor",
  E41="Ghogha", "Bhavnagar",
  E41="Bhavnagar", "Bhavnagar"
)</f>
        <v>Mahuva</v>
      </c>
      <c r="G41" s="4" t="s">
        <v>19</v>
      </c>
      <c r="H41" s="4">
        <v>180660</v>
      </c>
      <c r="I41" s="4">
        <v>1</v>
      </c>
      <c r="J41" s="5">
        <v>45778</v>
      </c>
      <c r="K41" s="5">
        <v>45789</v>
      </c>
      <c r="L41" s="5">
        <v>45790</v>
      </c>
      <c r="M41" s="7">
        <v>15230378.720000001</v>
      </c>
      <c r="N41" s="7">
        <v>10662788.140000001</v>
      </c>
      <c r="O41" s="8">
        <v>-29.99</v>
      </c>
      <c r="P41" s="8" t="str">
        <f>IF(O41&lt;0,"Below",IF(O41&gt;0,"Above","Equals"))</f>
        <v>Below</v>
      </c>
      <c r="Q41" s="4" t="s">
        <v>179</v>
      </c>
      <c r="R41" s="5">
        <v>45804</v>
      </c>
      <c r="S41" s="15" t="s">
        <v>196</v>
      </c>
      <c r="T41" s="14">
        <v>45810</v>
      </c>
      <c r="U41" s="12">
        <v>10</v>
      </c>
      <c r="V41" s="4">
        <v>879</v>
      </c>
      <c r="W41" s="14">
        <v>45829</v>
      </c>
      <c r="X41" s="4" t="s">
        <v>50</v>
      </c>
      <c r="Y41" s="13">
        <v>147</v>
      </c>
      <c r="Z41" s="26">
        <v>45910</v>
      </c>
      <c r="AA41" s="4" t="s">
        <v>299</v>
      </c>
      <c r="AB41" s="4" t="s">
        <v>390</v>
      </c>
      <c r="AC41" s="33" t="s">
        <v>645</v>
      </c>
      <c r="AD41" s="9">
        <v>534000</v>
      </c>
      <c r="AE41" s="5">
        <v>45889</v>
      </c>
      <c r="AF41" s="4" t="s">
        <v>299</v>
      </c>
      <c r="AG41" s="4" t="s">
        <v>390</v>
      </c>
      <c r="AH41" s="33" t="s">
        <v>646</v>
      </c>
      <c r="AI41" s="9">
        <v>914000</v>
      </c>
      <c r="AJ41" s="5">
        <v>45889</v>
      </c>
      <c r="AK41" s="4">
        <v>1291</v>
      </c>
      <c r="AL41" s="14">
        <v>45910</v>
      </c>
    </row>
    <row r="42" spans="1:38" ht="58">
      <c r="A42" s="4" t="s">
        <v>50</v>
      </c>
      <c r="B42" s="4">
        <v>2</v>
      </c>
      <c r="C42" s="4">
        <v>17</v>
      </c>
      <c r="D42" s="6" t="s">
        <v>60</v>
      </c>
      <c r="E42" s="4" t="s">
        <v>10</v>
      </c>
      <c r="F42" s="4" t="str" cm="1">
        <f t="array" ref="F42">_xlfn.IFS(
  E42="Mahuva", "Mahuva",
  E42="Jesar", "Mahuva",
  E42="Palitana", "Palitana",
  E42="Gariyadhar", "Palitana",
  E42="Talaja", "Talaja",
  E42="Vallabhipur", "Vallabhipur",
  E42="Umrala", "Vallabhipur",
  E42="Shihor", "Shihor",
  E42="Ghogha", "Bhavnagar",
  E42="Bhavnagar", "Bhavnagar"
)</f>
        <v>Mahuva</v>
      </c>
      <c r="G42" s="4" t="s">
        <v>19</v>
      </c>
      <c r="H42" s="4">
        <v>180666</v>
      </c>
      <c r="I42" s="4">
        <v>1</v>
      </c>
      <c r="J42" s="5">
        <v>45778</v>
      </c>
      <c r="K42" s="5">
        <v>45789</v>
      </c>
      <c r="L42" s="5">
        <v>45790</v>
      </c>
      <c r="M42" s="7">
        <v>11706821.6</v>
      </c>
      <c r="N42" s="7">
        <v>8624415.4700000007</v>
      </c>
      <c r="O42" s="8">
        <v>-26.33</v>
      </c>
      <c r="P42" s="8" t="str">
        <f>IF(O42&lt;0,"Below",IF(O42&gt;0,"Above","Equals"))</f>
        <v>Below</v>
      </c>
      <c r="Q42" s="4" t="s">
        <v>180</v>
      </c>
      <c r="R42" s="5">
        <v>45804</v>
      </c>
      <c r="S42" s="15" t="s">
        <v>193</v>
      </c>
      <c r="T42" s="14">
        <v>45810</v>
      </c>
      <c r="U42" s="12">
        <v>8</v>
      </c>
      <c r="V42" s="4">
        <v>877</v>
      </c>
      <c r="W42" s="14">
        <v>45829</v>
      </c>
      <c r="X42" s="4"/>
      <c r="Y42" s="13"/>
      <c r="Z42" s="14" t="s">
        <v>935</v>
      </c>
      <c r="AA42" s="4"/>
      <c r="AB42" s="4"/>
      <c r="AD42" s="9"/>
      <c r="AE42" s="5"/>
      <c r="AF42" s="11"/>
      <c r="AG42" s="11"/>
      <c r="AI42" s="9"/>
      <c r="AJ42" s="11"/>
      <c r="AK42" s="4"/>
      <c r="AL42" s="14" t="s">
        <v>935</v>
      </c>
    </row>
    <row r="43" spans="1:38" ht="58">
      <c r="A43" s="4" t="s">
        <v>50</v>
      </c>
      <c r="B43" s="4">
        <v>2</v>
      </c>
      <c r="C43" s="4">
        <v>18</v>
      </c>
      <c r="D43" s="6" t="s">
        <v>523</v>
      </c>
      <c r="E43" s="4" t="s">
        <v>9</v>
      </c>
      <c r="F43" s="4" t="str" cm="1">
        <f t="array" ref="F43">_xlfn.IFS(
  E43="Mahuva", "Mahuva",
  E43="Jesar", "Mahuva",
  E43="Palitana", "Palitana",
  E43="Gariyadhar", "Palitana",
  E43="Talaja", "Talaja",
  E43="Vallabhipur", "Vallabhipur",
  E43="Umrala", "Vallabhipur",
  E43="Shihor", "Shihor",
  E43="Ghogha", "Bhavnagar",
  E43="Bhavnagar", "Bhavnagar"
)</f>
        <v>Vallabhipur</v>
      </c>
      <c r="G43" s="4" t="s">
        <v>19</v>
      </c>
      <c r="H43" s="4">
        <v>180679</v>
      </c>
      <c r="I43" s="4">
        <v>1</v>
      </c>
      <c r="J43" s="5">
        <v>45778</v>
      </c>
      <c r="K43" s="5">
        <v>45789</v>
      </c>
      <c r="L43" s="5">
        <v>45790</v>
      </c>
      <c r="M43" s="7">
        <v>24576686.510000002</v>
      </c>
      <c r="N43" s="7">
        <v>18427599.550000001</v>
      </c>
      <c r="O43" s="8">
        <v>-25.02</v>
      </c>
      <c r="P43" s="8" t="str">
        <f>IF(O43&lt;0,"Below",IF(O43&gt;0,"Above","Equals"))</f>
        <v>Below</v>
      </c>
      <c r="Q43" s="4" t="s">
        <v>172</v>
      </c>
      <c r="R43" s="5">
        <v>45804</v>
      </c>
      <c r="S43" s="6" t="s">
        <v>253</v>
      </c>
      <c r="T43" s="14">
        <v>45813</v>
      </c>
      <c r="U43" s="12">
        <v>8</v>
      </c>
      <c r="V43" s="4">
        <v>878</v>
      </c>
      <c r="W43" s="14">
        <v>45829</v>
      </c>
      <c r="X43" s="4" t="s">
        <v>50</v>
      </c>
      <c r="Y43" s="13">
        <v>211</v>
      </c>
      <c r="Z43" s="26">
        <v>45974</v>
      </c>
      <c r="AA43" s="4" t="s">
        <v>299</v>
      </c>
      <c r="AB43" s="4" t="s">
        <v>390</v>
      </c>
      <c r="AC43" s="33" t="s">
        <v>757</v>
      </c>
      <c r="AD43" s="9">
        <v>922000</v>
      </c>
      <c r="AE43" s="5">
        <v>45960</v>
      </c>
      <c r="AF43" s="4" t="s">
        <v>299</v>
      </c>
      <c r="AG43" s="4" t="s">
        <v>390</v>
      </c>
      <c r="AH43" s="33" t="s">
        <v>758</v>
      </c>
      <c r="AI43" s="9">
        <v>1108000</v>
      </c>
      <c r="AJ43" s="5">
        <v>45960</v>
      </c>
      <c r="AK43" s="4">
        <v>1539</v>
      </c>
      <c r="AL43" s="26">
        <v>45974</v>
      </c>
    </row>
    <row r="44" spans="1:38" ht="58">
      <c r="A44" s="4" t="s">
        <v>50</v>
      </c>
      <c r="B44" s="4">
        <v>2</v>
      </c>
      <c r="C44" s="4">
        <v>19</v>
      </c>
      <c r="D44" s="6" t="s">
        <v>524</v>
      </c>
      <c r="E44" s="4" t="s">
        <v>2</v>
      </c>
      <c r="F44" s="4" t="str" cm="1">
        <f t="array" ref="F44">_xlfn.IFS(
  E44="Mahuva", "Mahuva",
  E44="Jesar", "Mahuva",
  E44="Palitana", "Palitana",
  E44="Gariyadhar", "Palitana",
  E44="Talaja", "Talaja",
  E44="Vallabhipur", "Vallabhipur",
  E44="Umrala", "Vallabhipur",
  E44="Shihor", "Shihor",
  E44="Ghogha", "Bhavnagar",
  E44="Bhavnagar", "Bhavnagar"
)</f>
        <v>Palitana</v>
      </c>
      <c r="G44" s="4" t="s">
        <v>19</v>
      </c>
      <c r="H44" s="4">
        <v>180696</v>
      </c>
      <c r="I44" s="4">
        <v>1</v>
      </c>
      <c r="J44" s="5">
        <v>45778</v>
      </c>
      <c r="K44" s="5">
        <v>45789</v>
      </c>
      <c r="L44" s="5">
        <v>45790</v>
      </c>
      <c r="M44" s="7">
        <v>9144415.4199999999</v>
      </c>
      <c r="N44" s="7">
        <v>6126758.3300000001</v>
      </c>
      <c r="O44" s="8">
        <v>-33</v>
      </c>
      <c r="P44" s="8" t="str">
        <f>IF(O44&lt;0,"Below",IF(O44&gt;0,"Above","Equals"))</f>
        <v>Below</v>
      </c>
      <c r="Q44" s="4" t="s">
        <v>13</v>
      </c>
      <c r="R44" s="5">
        <v>45804</v>
      </c>
      <c r="S44" s="15" t="s">
        <v>203</v>
      </c>
      <c r="T44" s="14">
        <v>45810</v>
      </c>
      <c r="U44" s="12">
        <v>4</v>
      </c>
      <c r="V44" s="4">
        <v>880</v>
      </c>
      <c r="W44" s="14">
        <v>45829</v>
      </c>
      <c r="X44" s="4" t="s">
        <v>50</v>
      </c>
      <c r="Y44" s="13">
        <v>323</v>
      </c>
      <c r="Z44" s="26">
        <v>46083</v>
      </c>
      <c r="AA44" s="4" t="s">
        <v>299</v>
      </c>
      <c r="AB44" s="4" t="s">
        <v>725</v>
      </c>
      <c r="AC44" s="33" t="s">
        <v>1029</v>
      </c>
      <c r="AD44" s="9">
        <v>307000</v>
      </c>
      <c r="AE44" s="5">
        <v>46080</v>
      </c>
      <c r="AF44" s="4" t="s">
        <v>299</v>
      </c>
      <c r="AG44" s="4" t="s">
        <v>725</v>
      </c>
      <c r="AH44" s="33" t="s">
        <v>1030</v>
      </c>
      <c r="AI44" s="9">
        <v>631000</v>
      </c>
      <c r="AJ44" s="5">
        <v>46080</v>
      </c>
      <c r="AK44" s="4">
        <v>327</v>
      </c>
      <c r="AL44" s="26">
        <v>46083</v>
      </c>
    </row>
    <row r="45" spans="1:38" ht="43.5">
      <c r="A45" s="4" t="s">
        <v>50</v>
      </c>
      <c r="B45" s="4">
        <v>2</v>
      </c>
      <c r="C45" s="4">
        <v>20</v>
      </c>
      <c r="D45" s="6" t="s">
        <v>525</v>
      </c>
      <c r="E45" s="4" t="s">
        <v>207</v>
      </c>
      <c r="F45" s="4" t="str" cm="1">
        <f t="array" ref="F45">_xlfn.IFS(
  E45="Mahuva", "Mahuva",
  E45="Jesar", "Mahuva",
  E45="Palitana", "Palitana",
  E45="Gariyadhar", "Palitana",
  E45="Talaja", "Talaja",
  E45="Vallabhipur", "Vallabhipur",
  E45="Umrala", "Vallabhipur",
  E45="Shihor", "Shihor",
  E45="Ghogha", "Bhavnagar",
  E45="Bhavnagar", "Bhavnagar"
)</f>
        <v>Palitana</v>
      </c>
      <c r="G45" s="4" t="s">
        <v>19</v>
      </c>
      <c r="I45" s="4">
        <v>1</v>
      </c>
      <c r="J45" s="5">
        <v>45778</v>
      </c>
      <c r="K45" s="5">
        <v>45789</v>
      </c>
      <c r="L45" s="5">
        <v>45790</v>
      </c>
      <c r="O45" s="8"/>
      <c r="P45" s="8" t="str">
        <f>IF(O45&lt;0,"Below",IF(O45&gt;0,"Above","Equals"))</f>
        <v>Equals</v>
      </c>
      <c r="R45" s="5"/>
      <c r="S45" s="6"/>
      <c r="U45" s="12"/>
      <c r="V45" s="4"/>
      <c r="X45" s="4"/>
      <c r="Y45" s="13"/>
      <c r="Z45" s="13"/>
      <c r="AA45" s="4"/>
      <c r="AB45" s="4"/>
      <c r="AD45" s="9"/>
      <c r="AE45" s="5"/>
      <c r="AF45" s="11"/>
      <c r="AG45" s="11"/>
      <c r="AI45" s="9"/>
      <c r="AJ45" s="11"/>
      <c r="AK45" s="4"/>
    </row>
    <row r="46" spans="1:38" ht="58">
      <c r="A46" s="4" t="s">
        <v>50</v>
      </c>
      <c r="B46" s="4">
        <v>3</v>
      </c>
      <c r="C46" s="4">
        <v>1</v>
      </c>
      <c r="D46" s="6" t="s">
        <v>526</v>
      </c>
      <c r="E46" s="4" t="s">
        <v>207</v>
      </c>
      <c r="F46" s="4" t="str" cm="1">
        <f t="array" ref="F46">_xlfn.IFS(
  E46="Mahuva", "Mahuva",
  E46="Jesar", "Mahuva",
  E46="Palitana", "Palitana",
  E46="Gariyadhar", "Palitana",
  E46="Talaja", "Talaja",
  E46="Vallabhipur", "Vallabhipur",
  E46="Umrala", "Vallabhipur",
  E46="Shihor", "Shihor",
  E46="Ghogha", "Bhavnagar",
  E46="Bhavnagar", "Bhavnagar"
)</f>
        <v>Palitana</v>
      </c>
      <c r="G46" s="4" t="s">
        <v>206</v>
      </c>
      <c r="H46" s="4">
        <v>183939</v>
      </c>
      <c r="I46" s="4">
        <v>8</v>
      </c>
      <c r="O46" s="8"/>
      <c r="P46" s="8" t="str">
        <f>IF(O46&lt;0,"Below",IF(O46&gt;0,"Above","Equals"))</f>
        <v>Equals</v>
      </c>
      <c r="R46" s="5"/>
      <c r="S46" s="6"/>
      <c r="U46" s="12"/>
      <c r="V46" s="4"/>
      <c r="X46" s="4"/>
      <c r="Y46" s="13"/>
      <c r="Z46" s="13"/>
      <c r="AA46" s="4"/>
      <c r="AB46" s="4"/>
      <c r="AD46" s="9"/>
      <c r="AE46" s="5"/>
      <c r="AF46" s="11"/>
      <c r="AG46" s="11"/>
      <c r="AI46" s="9"/>
      <c r="AJ46" s="11"/>
      <c r="AK46" s="4"/>
    </row>
    <row r="47" spans="1:38" ht="43.5">
      <c r="A47" s="4" t="s">
        <v>50</v>
      </c>
      <c r="B47" s="4">
        <v>3</v>
      </c>
      <c r="C47" s="4">
        <v>2</v>
      </c>
      <c r="D47" s="6" t="s">
        <v>208</v>
      </c>
      <c r="E47" s="4" t="s">
        <v>207</v>
      </c>
      <c r="F47" s="4" t="str" cm="1">
        <f t="array" ref="F47">_xlfn.IFS(
  E47="Mahuva", "Mahuva",
  E47="Jesar", "Mahuva",
  E47="Palitana", "Palitana",
  E47="Gariyadhar", "Palitana",
  E47="Talaja", "Talaja",
  E47="Vallabhipur", "Vallabhipur",
  E47="Umrala", "Vallabhipur",
  E47="Shihor", "Shihor",
  E47="Ghogha", "Bhavnagar",
  E47="Bhavnagar", "Bhavnagar"
)</f>
        <v>Palitana</v>
      </c>
      <c r="G47" s="4" t="s">
        <v>206</v>
      </c>
      <c r="H47" s="4">
        <v>183940</v>
      </c>
      <c r="I47" s="4">
        <v>8</v>
      </c>
      <c r="O47" s="8"/>
      <c r="P47" s="8" t="str">
        <f>IF(O47&lt;0,"Below",IF(O47&gt;0,"Above","Equals"))</f>
        <v>Equals</v>
      </c>
      <c r="R47" s="5"/>
      <c r="S47" s="6"/>
      <c r="U47" s="12"/>
      <c r="V47" s="4"/>
      <c r="X47" s="4"/>
      <c r="Y47" s="13"/>
      <c r="Z47" s="13"/>
      <c r="AA47" s="4"/>
      <c r="AB47" s="4"/>
      <c r="AD47" s="9"/>
      <c r="AE47" s="5"/>
      <c r="AF47" s="11"/>
      <c r="AG47" s="11"/>
      <c r="AI47" s="9"/>
      <c r="AJ47" s="11"/>
      <c r="AK47" s="4"/>
    </row>
    <row r="48" spans="1:38" ht="58">
      <c r="A48" s="4" t="s">
        <v>50</v>
      </c>
      <c r="B48" s="4">
        <v>3</v>
      </c>
      <c r="C48" s="4">
        <v>3</v>
      </c>
      <c r="D48" s="6" t="s">
        <v>209</v>
      </c>
      <c r="E48" s="4" t="s">
        <v>0</v>
      </c>
      <c r="F48" s="4" t="str" cm="1">
        <f t="array" ref="F48">_xlfn.IFS(
  E48="Mahuva", "Mahuva",
  E48="Jesar", "Mahuva",
  E48="Palitana", "Palitana",
  E48="Gariyadhar", "Palitana",
  E48="Talaja", "Talaja",
  E48="Vallabhipur", "Vallabhipur",
  E48="Umrala", "Vallabhipur",
  E48="Shihor", "Shihor",
  E48="Ghogha", "Bhavnagar",
  E48="Bhavnagar", "Bhavnagar"
)</f>
        <v>Bhavnagar</v>
      </c>
      <c r="G48" s="4" t="s">
        <v>206</v>
      </c>
      <c r="H48" s="4">
        <v>183941</v>
      </c>
      <c r="I48" s="4">
        <v>6</v>
      </c>
      <c r="K48" s="5">
        <v>45796</v>
      </c>
      <c r="O48" s="8"/>
      <c r="P48" s="8" t="str">
        <f>IF(O48&lt;0,"Below",IF(O48&gt;0,"Above","Equals"))</f>
        <v>Equals</v>
      </c>
      <c r="R48" s="5"/>
      <c r="S48" s="6"/>
      <c r="U48" s="12"/>
      <c r="V48" s="4"/>
      <c r="X48" s="4"/>
      <c r="Y48" s="13"/>
      <c r="Z48" s="13"/>
      <c r="AA48" s="4"/>
      <c r="AB48" s="4"/>
      <c r="AD48" s="9"/>
      <c r="AE48" s="5"/>
      <c r="AF48" s="11"/>
      <c r="AG48" s="11"/>
      <c r="AI48" s="9"/>
      <c r="AJ48" s="11"/>
      <c r="AK48" s="4"/>
    </row>
    <row r="49" spans="1:38" ht="43.5">
      <c r="A49" s="4" t="s">
        <v>50</v>
      </c>
      <c r="B49" s="4">
        <v>3</v>
      </c>
      <c r="C49" s="4">
        <v>4</v>
      </c>
      <c r="D49" s="6" t="s">
        <v>210</v>
      </c>
      <c r="E49" s="4" t="s">
        <v>0</v>
      </c>
      <c r="F49" s="4" t="str" cm="1">
        <f t="array" ref="F49">_xlfn.IFS(
  E49="Mahuva", "Mahuva",
  E49="Jesar", "Mahuva",
  E49="Palitana", "Palitana",
  E49="Gariyadhar", "Palitana",
  E49="Talaja", "Talaja",
  E49="Vallabhipur", "Vallabhipur",
  E49="Umrala", "Vallabhipur",
  E49="Shihor", "Shihor",
  E49="Ghogha", "Bhavnagar",
  E49="Bhavnagar", "Bhavnagar"
)</f>
        <v>Bhavnagar</v>
      </c>
      <c r="G49" s="4" t="s">
        <v>206</v>
      </c>
      <c r="H49" s="4">
        <v>183942</v>
      </c>
      <c r="I49" s="4">
        <v>2</v>
      </c>
      <c r="O49" s="8"/>
      <c r="P49" s="8" t="str">
        <f>IF(O49&lt;0,"Below",IF(O49&gt;0,"Above","Equals"))</f>
        <v>Equals</v>
      </c>
      <c r="R49" s="5"/>
      <c r="S49" s="6"/>
      <c r="U49" s="12"/>
      <c r="V49" s="4"/>
      <c r="X49" s="4"/>
      <c r="Y49" s="13"/>
      <c r="Z49" s="13"/>
      <c r="AA49" s="4"/>
      <c r="AB49" s="4"/>
      <c r="AD49" s="9"/>
      <c r="AE49" s="5"/>
      <c r="AF49" s="11"/>
      <c r="AG49" s="11"/>
      <c r="AI49" s="9"/>
      <c r="AJ49" s="11"/>
      <c r="AK49" s="4"/>
    </row>
    <row r="50" spans="1:38" ht="43.5">
      <c r="A50" s="4" t="s">
        <v>50</v>
      </c>
      <c r="B50" s="4">
        <v>3</v>
      </c>
      <c r="C50" s="4">
        <v>5</v>
      </c>
      <c r="D50" s="6" t="s">
        <v>211</v>
      </c>
      <c r="E50" s="4" t="s">
        <v>10</v>
      </c>
      <c r="F50" s="4" t="str" cm="1">
        <f t="array" ref="F50">_xlfn.IFS(
  E50="Mahuva", "Mahuva",
  E50="Jesar", "Mahuva",
  E50="Palitana", "Palitana",
  E50="Gariyadhar", "Palitana",
  E50="Talaja", "Talaja",
  E50="Vallabhipur", "Vallabhipur",
  E50="Umrala", "Vallabhipur",
  E50="Shihor", "Shihor",
  E50="Ghogha", "Bhavnagar",
  E50="Bhavnagar", "Bhavnagar"
)</f>
        <v>Mahuva</v>
      </c>
      <c r="G50" s="4" t="s">
        <v>206</v>
      </c>
      <c r="H50" s="4">
        <v>183943</v>
      </c>
      <c r="I50" s="4">
        <v>2</v>
      </c>
      <c r="J50" s="5">
        <v>45788</v>
      </c>
      <c r="K50" s="5">
        <v>45796</v>
      </c>
      <c r="M50" s="7">
        <v>1024912.96</v>
      </c>
      <c r="N50" s="7">
        <v>1006772</v>
      </c>
      <c r="O50" s="8">
        <v>-1.77</v>
      </c>
      <c r="P50" s="8" t="str">
        <f>IF(O50&lt;0,"Below",IF(O50&gt;0,"Above","Equals"))</f>
        <v>Below</v>
      </c>
      <c r="Q50" s="4" t="s">
        <v>212</v>
      </c>
      <c r="R50" s="5"/>
      <c r="S50" s="6"/>
      <c r="U50" s="12">
        <v>3</v>
      </c>
      <c r="V50" s="4">
        <v>885</v>
      </c>
      <c r="W50" s="14">
        <v>45831</v>
      </c>
      <c r="X50" s="4" t="s">
        <v>50</v>
      </c>
      <c r="Y50" s="13">
        <v>83</v>
      </c>
      <c r="Z50" s="26">
        <v>45887</v>
      </c>
      <c r="AA50" s="4" t="s">
        <v>299</v>
      </c>
      <c r="AB50" s="4" t="s">
        <v>541</v>
      </c>
      <c r="AC50" s="33" t="s">
        <v>542</v>
      </c>
      <c r="AD50" s="9">
        <v>51000</v>
      </c>
      <c r="AE50" s="5">
        <v>45881</v>
      </c>
      <c r="AF50" s="11"/>
      <c r="AG50" s="11"/>
      <c r="AI50" s="9"/>
      <c r="AJ50" s="11"/>
      <c r="AK50" s="4">
        <v>1062</v>
      </c>
      <c r="AL50" s="14">
        <v>45887</v>
      </c>
    </row>
    <row r="51" spans="1:38" ht="43.5">
      <c r="A51" s="4" t="s">
        <v>50</v>
      </c>
      <c r="B51" s="4">
        <v>3</v>
      </c>
      <c r="C51" s="4">
        <v>6</v>
      </c>
      <c r="D51" s="6" t="s">
        <v>217</v>
      </c>
      <c r="E51" s="4" t="s">
        <v>10</v>
      </c>
      <c r="F51" s="4" t="str" cm="1">
        <f t="array" ref="F51">_xlfn.IFS(
  E51="Mahuva", "Mahuva",
  E51="Jesar", "Mahuva",
  E51="Palitana", "Palitana",
  E51="Gariyadhar", "Palitana",
  E51="Talaja", "Talaja",
  E51="Vallabhipur", "Vallabhipur",
  E51="Umrala", "Vallabhipur",
  E51="Shihor", "Shihor",
  E51="Ghogha", "Bhavnagar",
  E51="Bhavnagar", "Bhavnagar"
)</f>
        <v>Mahuva</v>
      </c>
      <c r="G51" s="4" t="s">
        <v>206</v>
      </c>
      <c r="H51" s="4">
        <v>183944</v>
      </c>
      <c r="I51" s="4">
        <v>2</v>
      </c>
      <c r="O51" s="8"/>
      <c r="P51" s="8" t="str">
        <f>IF(O51&lt;0,"Below",IF(O51&gt;0,"Above","Equals"))</f>
        <v>Equals</v>
      </c>
      <c r="R51" s="5"/>
      <c r="S51" s="6"/>
      <c r="U51" s="12"/>
      <c r="V51" s="4"/>
      <c r="X51" s="4"/>
      <c r="Y51" s="13"/>
      <c r="Z51" s="13"/>
      <c r="AA51" s="4"/>
      <c r="AB51" s="4"/>
      <c r="AD51" s="9"/>
      <c r="AE51" s="5"/>
      <c r="AF51" s="11"/>
      <c r="AG51" s="11"/>
      <c r="AI51" s="9"/>
      <c r="AJ51" s="11"/>
      <c r="AK51" s="4"/>
    </row>
    <row r="52" spans="1:38" ht="43.5">
      <c r="A52" s="4" t="s">
        <v>50</v>
      </c>
      <c r="B52" s="4">
        <v>3</v>
      </c>
      <c r="C52" s="4">
        <v>7</v>
      </c>
      <c r="D52" s="6" t="s">
        <v>218</v>
      </c>
      <c r="E52" s="4" t="s">
        <v>10</v>
      </c>
      <c r="F52" s="4" t="str" cm="1">
        <f t="array" ref="F52">_xlfn.IFS(
  E52="Mahuva", "Mahuva",
  E52="Jesar", "Mahuva",
  E52="Palitana", "Palitana",
  E52="Gariyadhar", "Palitana",
  E52="Talaja", "Talaja",
  E52="Vallabhipur", "Vallabhipur",
  E52="Umrala", "Vallabhipur",
  E52="Shihor", "Shihor",
  E52="Ghogha", "Bhavnagar",
  E52="Bhavnagar", "Bhavnagar"
)</f>
        <v>Mahuva</v>
      </c>
      <c r="G52" s="4" t="s">
        <v>206</v>
      </c>
      <c r="H52" s="4">
        <v>183945</v>
      </c>
      <c r="I52" s="4">
        <v>2</v>
      </c>
      <c r="O52" s="8"/>
      <c r="P52" s="8" t="str">
        <f>IF(O52&lt;0,"Below",IF(O52&gt;0,"Above","Equals"))</f>
        <v>Equals</v>
      </c>
      <c r="R52" s="5"/>
      <c r="S52" s="6"/>
      <c r="U52" s="12"/>
      <c r="V52" s="4"/>
      <c r="X52" s="4"/>
      <c r="Y52" s="13"/>
      <c r="Z52" s="13"/>
      <c r="AA52" s="4"/>
      <c r="AB52" s="4"/>
      <c r="AD52" s="9"/>
      <c r="AE52" s="5"/>
      <c r="AF52" s="11"/>
      <c r="AG52" s="11"/>
      <c r="AI52" s="9"/>
      <c r="AJ52" s="11"/>
      <c r="AK52" s="4"/>
    </row>
    <row r="53" spans="1:38" ht="43.5">
      <c r="A53" s="4" t="s">
        <v>50</v>
      </c>
      <c r="B53" s="4">
        <v>3</v>
      </c>
      <c r="C53" s="4">
        <v>8</v>
      </c>
      <c r="D53" s="6" t="s">
        <v>219</v>
      </c>
      <c r="E53" s="4" t="s">
        <v>10</v>
      </c>
      <c r="F53" s="4" t="str" cm="1">
        <f t="array" ref="F53">_xlfn.IFS(
  E53="Mahuva", "Mahuva",
  E53="Jesar", "Mahuva",
  E53="Palitana", "Palitana",
  E53="Gariyadhar", "Palitana",
  E53="Talaja", "Talaja",
  E53="Vallabhipur", "Vallabhipur",
  E53="Umrala", "Vallabhipur",
  E53="Shihor", "Shihor",
  E53="Ghogha", "Bhavnagar",
  E53="Bhavnagar", "Bhavnagar"
)</f>
        <v>Mahuva</v>
      </c>
      <c r="G53" s="4" t="s">
        <v>206</v>
      </c>
      <c r="H53" s="4">
        <v>183946</v>
      </c>
      <c r="I53" s="4">
        <v>2</v>
      </c>
      <c r="O53" s="8"/>
      <c r="P53" s="8" t="str">
        <f>IF(O53&lt;0,"Below",IF(O53&gt;0,"Above","Equals"))</f>
        <v>Equals</v>
      </c>
      <c r="R53" s="5"/>
      <c r="S53" s="6"/>
      <c r="U53" s="12"/>
      <c r="V53" s="4"/>
      <c r="X53" s="4"/>
      <c r="Y53" s="13"/>
      <c r="Z53" s="13"/>
      <c r="AA53" s="4"/>
      <c r="AB53" s="4"/>
      <c r="AD53" s="9"/>
      <c r="AE53" s="5"/>
      <c r="AF53" s="11"/>
      <c r="AG53" s="11"/>
      <c r="AI53" s="9"/>
      <c r="AJ53" s="11"/>
      <c r="AK53" s="4"/>
    </row>
    <row r="54" spans="1:38" ht="43.5">
      <c r="A54" s="4" t="s">
        <v>50</v>
      </c>
      <c r="B54" s="4">
        <v>3</v>
      </c>
      <c r="C54" s="4">
        <v>9</v>
      </c>
      <c r="D54" s="6" t="s">
        <v>220</v>
      </c>
      <c r="E54" s="4" t="s">
        <v>10</v>
      </c>
      <c r="F54" s="4" t="str" cm="1">
        <f t="array" ref="F54">_xlfn.IFS(
  E54="Mahuva", "Mahuva",
  E54="Jesar", "Mahuva",
  E54="Palitana", "Palitana",
  E54="Gariyadhar", "Palitana",
  E54="Talaja", "Talaja",
  E54="Vallabhipur", "Vallabhipur",
  E54="Umrala", "Vallabhipur",
  E54="Shihor", "Shihor",
  E54="Ghogha", "Bhavnagar",
  E54="Bhavnagar", "Bhavnagar"
)</f>
        <v>Mahuva</v>
      </c>
      <c r="G54" s="4" t="s">
        <v>206</v>
      </c>
      <c r="H54" s="4">
        <v>183947</v>
      </c>
      <c r="I54" s="4">
        <v>2</v>
      </c>
      <c r="O54" s="8"/>
      <c r="P54" s="8" t="str">
        <f>IF(O54&lt;0,"Below",IF(O54&gt;0,"Above","Equals"))</f>
        <v>Equals</v>
      </c>
      <c r="R54" s="5"/>
      <c r="S54" s="6"/>
      <c r="U54" s="12"/>
      <c r="V54" s="4"/>
      <c r="X54" s="4"/>
      <c r="Y54" s="13"/>
      <c r="Z54" s="13"/>
      <c r="AA54" s="4"/>
      <c r="AB54" s="4"/>
      <c r="AD54" s="9"/>
      <c r="AE54" s="5"/>
      <c r="AF54" s="11"/>
      <c r="AG54" s="11"/>
      <c r="AI54" s="9"/>
      <c r="AJ54" s="11"/>
      <c r="AK54" s="4"/>
    </row>
    <row r="55" spans="1:38" ht="43.5">
      <c r="A55" s="4" t="s">
        <v>50</v>
      </c>
      <c r="B55" s="4">
        <v>3</v>
      </c>
      <c r="C55" s="4">
        <v>10</v>
      </c>
      <c r="D55" s="6" t="s">
        <v>213</v>
      </c>
      <c r="E55" s="4" t="s">
        <v>10</v>
      </c>
      <c r="F55" s="4" t="str" cm="1">
        <f t="array" ref="F55">_xlfn.IFS(
  E55="Mahuva", "Mahuva",
  E55="Jesar", "Mahuva",
  E55="Palitana", "Palitana",
  E55="Gariyadhar", "Palitana",
  E55="Talaja", "Talaja",
  E55="Vallabhipur", "Vallabhipur",
  E55="Umrala", "Vallabhipur",
  E55="Shihor", "Shihor",
  E55="Ghogha", "Bhavnagar",
  E55="Bhavnagar", "Bhavnagar"
)</f>
        <v>Mahuva</v>
      </c>
      <c r="G55" s="4" t="s">
        <v>206</v>
      </c>
      <c r="H55" s="4">
        <v>183948</v>
      </c>
      <c r="I55" s="4">
        <v>2</v>
      </c>
      <c r="J55" s="5">
        <v>45788</v>
      </c>
      <c r="K55" s="5">
        <v>45796</v>
      </c>
      <c r="M55" s="7">
        <v>1024912.96</v>
      </c>
      <c r="N55" s="7">
        <v>1001749.93</v>
      </c>
      <c r="O55" s="8">
        <v>-2.2599999999999998</v>
      </c>
      <c r="P55" s="8" t="str">
        <f>IF(O55&lt;0,"Below",IF(O55&gt;0,"Above","Equals"))</f>
        <v>Below</v>
      </c>
      <c r="Q55" s="4" t="s">
        <v>122</v>
      </c>
      <c r="R55" s="5"/>
      <c r="S55" s="6"/>
      <c r="U55" s="12">
        <v>3</v>
      </c>
      <c r="V55" s="4">
        <v>886</v>
      </c>
      <c r="W55" s="14">
        <v>45831</v>
      </c>
      <c r="X55" s="4" t="s">
        <v>50</v>
      </c>
      <c r="Y55" s="13">
        <v>92</v>
      </c>
      <c r="Z55" s="26">
        <v>45887</v>
      </c>
      <c r="AA55" s="4" t="s">
        <v>299</v>
      </c>
      <c r="AB55" s="4" t="s">
        <v>300</v>
      </c>
      <c r="AC55" s="33">
        <v>78048721869</v>
      </c>
      <c r="AD55" s="9">
        <v>51000</v>
      </c>
      <c r="AE55" s="5">
        <v>45863</v>
      </c>
      <c r="AF55" s="11"/>
      <c r="AG55" s="11"/>
      <c r="AI55" s="9"/>
      <c r="AJ55" s="11"/>
      <c r="AK55" s="4">
        <v>1171</v>
      </c>
      <c r="AL55" s="14">
        <v>45887</v>
      </c>
    </row>
    <row r="56" spans="1:38" ht="43.5">
      <c r="A56" s="4" t="s">
        <v>50</v>
      </c>
      <c r="B56" s="4">
        <v>3</v>
      </c>
      <c r="C56" s="4">
        <v>11</v>
      </c>
      <c r="D56" s="6" t="s">
        <v>221</v>
      </c>
      <c r="E56" s="4" t="s">
        <v>10</v>
      </c>
      <c r="F56" s="4" t="str" cm="1">
        <f t="array" ref="F56">_xlfn.IFS(
  E56="Mahuva", "Mahuva",
  E56="Jesar", "Mahuva",
  E56="Palitana", "Palitana",
  E56="Gariyadhar", "Palitana",
  E56="Talaja", "Talaja",
  E56="Vallabhipur", "Vallabhipur",
  E56="Umrala", "Vallabhipur",
  E56="Shihor", "Shihor",
  E56="Ghogha", "Bhavnagar",
  E56="Bhavnagar", "Bhavnagar"
)</f>
        <v>Mahuva</v>
      </c>
      <c r="G56" s="4" t="s">
        <v>206</v>
      </c>
      <c r="H56" s="4">
        <v>183949</v>
      </c>
      <c r="I56" s="4">
        <v>2</v>
      </c>
      <c r="O56" s="8"/>
      <c r="P56" s="8" t="str">
        <f>IF(O56&lt;0,"Below",IF(O56&gt;0,"Above","Equals"))</f>
        <v>Equals</v>
      </c>
      <c r="R56" s="5"/>
      <c r="S56" s="6"/>
      <c r="U56" s="12"/>
      <c r="V56" s="4"/>
      <c r="X56" s="4"/>
      <c r="Y56" s="13"/>
      <c r="Z56" s="13"/>
      <c r="AA56" s="4"/>
      <c r="AB56" s="4"/>
      <c r="AD56" s="9"/>
      <c r="AE56" s="5"/>
      <c r="AF56" s="11"/>
      <c r="AG56" s="11"/>
      <c r="AI56" s="9"/>
      <c r="AJ56" s="11"/>
      <c r="AK56" s="4"/>
    </row>
    <row r="57" spans="1:38" ht="43.5">
      <c r="A57" s="4" t="s">
        <v>50</v>
      </c>
      <c r="B57" s="4">
        <v>3</v>
      </c>
      <c r="C57" s="4">
        <v>12</v>
      </c>
      <c r="D57" s="6" t="s">
        <v>222</v>
      </c>
      <c r="E57" s="4" t="s">
        <v>10</v>
      </c>
      <c r="F57" s="4" t="str" cm="1">
        <f t="array" ref="F57">_xlfn.IFS(
  E57="Mahuva", "Mahuva",
  E57="Jesar", "Mahuva",
  E57="Palitana", "Palitana",
  E57="Gariyadhar", "Palitana",
  E57="Talaja", "Talaja",
  E57="Vallabhipur", "Vallabhipur",
  E57="Umrala", "Vallabhipur",
  E57="Shihor", "Shihor",
  E57="Ghogha", "Bhavnagar",
  E57="Bhavnagar", "Bhavnagar"
)</f>
        <v>Mahuva</v>
      </c>
      <c r="G57" s="4" t="s">
        <v>206</v>
      </c>
      <c r="H57" s="4">
        <v>183950</v>
      </c>
      <c r="I57" s="4">
        <v>2</v>
      </c>
      <c r="O57" s="8"/>
      <c r="P57" s="8" t="str">
        <f>IF(O57&lt;0,"Below",IF(O57&gt;0,"Above","Equals"))</f>
        <v>Equals</v>
      </c>
      <c r="R57" s="5"/>
      <c r="S57" s="6"/>
      <c r="U57" s="12"/>
      <c r="V57" s="4"/>
      <c r="X57" s="4"/>
      <c r="Y57" s="13"/>
      <c r="Z57" s="13"/>
      <c r="AA57" s="4"/>
      <c r="AB57" s="4"/>
      <c r="AD57" s="9"/>
      <c r="AE57" s="5"/>
      <c r="AF57" s="11"/>
      <c r="AG57" s="11"/>
      <c r="AI57" s="9"/>
      <c r="AJ57" s="11"/>
      <c r="AK57" s="4"/>
    </row>
    <row r="58" spans="1:38" ht="43.5">
      <c r="A58" s="4" t="s">
        <v>50</v>
      </c>
      <c r="B58" s="4">
        <v>3</v>
      </c>
      <c r="C58" s="4">
        <v>13</v>
      </c>
      <c r="D58" s="6" t="s">
        <v>223</v>
      </c>
      <c r="E58" s="4" t="s">
        <v>10</v>
      </c>
      <c r="F58" s="4" t="str" cm="1">
        <f t="array" ref="F58">_xlfn.IFS(
  E58="Mahuva", "Mahuva",
  E58="Jesar", "Mahuva",
  E58="Palitana", "Palitana",
  E58="Gariyadhar", "Palitana",
  E58="Talaja", "Talaja",
  E58="Vallabhipur", "Vallabhipur",
  E58="Umrala", "Vallabhipur",
  E58="Shihor", "Shihor",
  E58="Ghogha", "Bhavnagar",
  E58="Bhavnagar", "Bhavnagar"
)</f>
        <v>Mahuva</v>
      </c>
      <c r="G58" s="4" t="s">
        <v>206</v>
      </c>
      <c r="H58" s="4">
        <v>183953</v>
      </c>
      <c r="I58" s="4">
        <v>2</v>
      </c>
      <c r="O58" s="8"/>
      <c r="P58" s="8" t="str">
        <f>IF(O58&lt;0,"Below",IF(O58&gt;0,"Above","Equals"))</f>
        <v>Equals</v>
      </c>
      <c r="R58" s="5"/>
      <c r="S58" s="6"/>
      <c r="U58" s="12"/>
      <c r="V58" s="4"/>
      <c r="X58" s="4"/>
      <c r="Y58" s="13"/>
      <c r="Z58" s="13"/>
      <c r="AA58" s="4"/>
      <c r="AB58" s="4"/>
      <c r="AD58" s="9"/>
      <c r="AE58" s="5"/>
      <c r="AF58" s="11"/>
      <c r="AG58" s="11"/>
      <c r="AI58" s="9"/>
      <c r="AJ58" s="11"/>
      <c r="AK58" s="4"/>
    </row>
    <row r="59" spans="1:38" ht="43.5">
      <c r="A59" s="4" t="s">
        <v>50</v>
      </c>
      <c r="B59" s="4">
        <v>3</v>
      </c>
      <c r="C59" s="4">
        <v>14</v>
      </c>
      <c r="D59" s="6" t="s">
        <v>224</v>
      </c>
      <c r="E59" s="4" t="s">
        <v>10</v>
      </c>
      <c r="F59" s="4" t="str" cm="1">
        <f t="array" ref="F59">_xlfn.IFS(
  E59="Mahuva", "Mahuva",
  E59="Jesar", "Mahuva",
  E59="Palitana", "Palitana",
  E59="Gariyadhar", "Palitana",
  E59="Talaja", "Talaja",
  E59="Vallabhipur", "Vallabhipur",
  E59="Umrala", "Vallabhipur",
  E59="Shihor", "Shihor",
  E59="Ghogha", "Bhavnagar",
  E59="Bhavnagar", "Bhavnagar"
)</f>
        <v>Mahuva</v>
      </c>
      <c r="G59" s="4" t="s">
        <v>206</v>
      </c>
      <c r="H59" s="4">
        <v>183954</v>
      </c>
      <c r="I59" s="4">
        <v>2</v>
      </c>
      <c r="O59" s="8"/>
      <c r="P59" s="8" t="str">
        <f>IF(O59&lt;0,"Below",IF(O59&gt;0,"Above","Equals"))</f>
        <v>Equals</v>
      </c>
      <c r="R59" s="5"/>
      <c r="S59" s="6"/>
      <c r="U59" s="12"/>
      <c r="V59" s="4"/>
      <c r="X59" s="4"/>
      <c r="Y59" s="13"/>
      <c r="Z59" s="13"/>
      <c r="AA59" s="4"/>
      <c r="AB59" s="4"/>
      <c r="AD59" s="9"/>
      <c r="AE59" s="5"/>
      <c r="AF59" s="11"/>
      <c r="AG59" s="11"/>
      <c r="AI59" s="9"/>
      <c r="AJ59" s="11"/>
      <c r="AK59" s="4"/>
    </row>
    <row r="60" spans="1:38" ht="43.5">
      <c r="A60" s="4" t="s">
        <v>50</v>
      </c>
      <c r="B60" s="4">
        <v>3</v>
      </c>
      <c r="C60" s="4">
        <v>15</v>
      </c>
      <c r="D60" s="6" t="s">
        <v>214</v>
      </c>
      <c r="E60" s="4" t="s">
        <v>10</v>
      </c>
      <c r="F60" s="4" t="str" cm="1">
        <f t="array" ref="F60">_xlfn.IFS(
  E60="Mahuva", "Mahuva",
  E60="Jesar", "Mahuva",
  E60="Palitana", "Palitana",
  E60="Gariyadhar", "Palitana",
  E60="Talaja", "Talaja",
  E60="Vallabhipur", "Vallabhipur",
  E60="Umrala", "Vallabhipur",
  E60="Shihor", "Shihor",
  E60="Ghogha", "Bhavnagar",
  E60="Bhavnagar", "Bhavnagar"
)</f>
        <v>Mahuva</v>
      </c>
      <c r="G60" s="4" t="s">
        <v>206</v>
      </c>
      <c r="H60" s="4">
        <v>183955</v>
      </c>
      <c r="I60" s="4">
        <v>2</v>
      </c>
      <c r="J60" s="5">
        <v>45788</v>
      </c>
      <c r="K60" s="5">
        <v>45796</v>
      </c>
      <c r="M60" s="7">
        <v>1024912.96</v>
      </c>
      <c r="N60" s="7">
        <v>1001749.93</v>
      </c>
      <c r="O60" s="8">
        <v>-2.2599999999999998</v>
      </c>
      <c r="P60" s="8" t="str">
        <f>IF(O60&lt;0,"Below",IF(O60&gt;0,"Above","Equals"))</f>
        <v>Below</v>
      </c>
      <c r="Q60" s="4" t="s">
        <v>122</v>
      </c>
      <c r="R60" s="5"/>
      <c r="S60" s="6"/>
      <c r="U60" s="12">
        <v>3</v>
      </c>
      <c r="V60" s="4">
        <v>887</v>
      </c>
      <c r="W60" s="14">
        <v>45831</v>
      </c>
      <c r="X60" s="4" t="s">
        <v>50</v>
      </c>
      <c r="Y60" s="13">
        <v>91</v>
      </c>
      <c r="Z60" s="26">
        <v>45887</v>
      </c>
      <c r="AA60" s="4" t="s">
        <v>299</v>
      </c>
      <c r="AB60" s="4" t="s">
        <v>300</v>
      </c>
      <c r="AC60" s="33">
        <v>78048721858</v>
      </c>
      <c r="AD60" s="9">
        <v>51000</v>
      </c>
      <c r="AE60" s="5">
        <v>45863</v>
      </c>
      <c r="AF60" s="11"/>
      <c r="AG60" s="11"/>
      <c r="AI60" s="9"/>
      <c r="AJ60" s="11"/>
      <c r="AK60" s="4">
        <v>1170</v>
      </c>
      <c r="AL60" s="14">
        <v>45887</v>
      </c>
    </row>
    <row r="61" spans="1:38" ht="43.5">
      <c r="A61" s="4" t="s">
        <v>50</v>
      </c>
      <c r="B61" s="4">
        <v>3</v>
      </c>
      <c r="C61" s="4">
        <v>16</v>
      </c>
      <c r="D61" s="6" t="s">
        <v>225</v>
      </c>
      <c r="E61" s="4" t="s">
        <v>10</v>
      </c>
      <c r="F61" s="4" t="str" cm="1">
        <f t="array" ref="F61">_xlfn.IFS(
  E61="Mahuva", "Mahuva",
  E61="Jesar", "Mahuva",
  E61="Palitana", "Palitana",
  E61="Gariyadhar", "Palitana",
  E61="Talaja", "Talaja",
  E61="Vallabhipur", "Vallabhipur",
  E61="Umrala", "Vallabhipur",
  E61="Shihor", "Shihor",
  E61="Ghogha", "Bhavnagar",
  E61="Bhavnagar", "Bhavnagar"
)</f>
        <v>Mahuva</v>
      </c>
      <c r="G61" s="4" t="s">
        <v>206</v>
      </c>
      <c r="H61" s="4">
        <v>183956</v>
      </c>
      <c r="I61" s="4">
        <v>2</v>
      </c>
      <c r="O61" s="8"/>
      <c r="P61" s="8" t="str">
        <f>IF(O61&lt;0,"Below",IF(O61&gt;0,"Above","Equals"))</f>
        <v>Equals</v>
      </c>
      <c r="R61" s="5"/>
      <c r="S61" s="6"/>
      <c r="U61" s="12"/>
      <c r="V61" s="4"/>
      <c r="X61" s="4"/>
      <c r="Y61" s="13"/>
      <c r="Z61" s="13"/>
      <c r="AA61" s="4"/>
      <c r="AB61" s="4"/>
      <c r="AD61" s="9"/>
      <c r="AE61" s="5"/>
      <c r="AF61" s="11"/>
      <c r="AG61" s="11"/>
      <c r="AI61" s="9"/>
      <c r="AJ61" s="11"/>
      <c r="AK61" s="4"/>
    </row>
    <row r="62" spans="1:38" ht="43.5">
      <c r="A62" s="4" t="s">
        <v>50</v>
      </c>
      <c r="B62" s="4">
        <v>3</v>
      </c>
      <c r="C62" s="4">
        <v>17</v>
      </c>
      <c r="D62" s="6" t="s">
        <v>215</v>
      </c>
      <c r="E62" s="4" t="s">
        <v>10</v>
      </c>
      <c r="F62" s="4" t="str" cm="1">
        <f t="array" ref="F62">_xlfn.IFS(
  E62="Mahuva", "Mahuva",
  E62="Jesar", "Mahuva",
  E62="Palitana", "Palitana",
  E62="Gariyadhar", "Palitana",
  E62="Talaja", "Talaja",
  E62="Vallabhipur", "Vallabhipur",
  E62="Umrala", "Vallabhipur",
  E62="Shihor", "Shihor",
  E62="Ghogha", "Bhavnagar",
  E62="Bhavnagar", "Bhavnagar"
)</f>
        <v>Mahuva</v>
      </c>
      <c r="G62" s="4" t="s">
        <v>206</v>
      </c>
      <c r="H62" s="4">
        <v>183957</v>
      </c>
      <c r="I62" s="4">
        <v>2</v>
      </c>
      <c r="J62" s="5">
        <v>45788</v>
      </c>
      <c r="K62" s="5">
        <v>45796</v>
      </c>
      <c r="M62" s="7">
        <v>1024912.96</v>
      </c>
      <c r="N62" s="7">
        <v>1006772</v>
      </c>
      <c r="O62" s="8">
        <v>-1.77</v>
      </c>
      <c r="P62" s="8" t="str">
        <f>IF(O62&lt;0,"Below",IF(O62&gt;0,"Above","Equals"))</f>
        <v>Below</v>
      </c>
      <c r="Q62" s="4" t="s">
        <v>212</v>
      </c>
      <c r="R62" s="5"/>
      <c r="S62" s="6"/>
      <c r="U62" s="12">
        <v>3</v>
      </c>
      <c r="V62" s="4">
        <v>888</v>
      </c>
      <c r="W62" s="14">
        <v>45831</v>
      </c>
      <c r="X62" s="4" t="s">
        <v>50</v>
      </c>
      <c r="Y62" s="13">
        <v>84</v>
      </c>
      <c r="Z62" s="26">
        <v>45887</v>
      </c>
      <c r="AA62" s="4" t="s">
        <v>299</v>
      </c>
      <c r="AB62" s="4" t="s">
        <v>541</v>
      </c>
      <c r="AC62" s="33" t="s">
        <v>543</v>
      </c>
      <c r="AD62" s="9">
        <v>51000</v>
      </c>
      <c r="AE62" s="5">
        <v>45881</v>
      </c>
      <c r="AF62" s="11"/>
      <c r="AG62" s="11"/>
      <c r="AI62" s="9"/>
      <c r="AJ62" s="11"/>
      <c r="AK62" s="4">
        <v>1063</v>
      </c>
      <c r="AL62" s="14">
        <v>45887</v>
      </c>
    </row>
    <row r="63" spans="1:38" ht="43.5">
      <c r="A63" s="4" t="s">
        <v>50</v>
      </c>
      <c r="B63" s="4">
        <v>3</v>
      </c>
      <c r="C63" s="4">
        <v>18</v>
      </c>
      <c r="D63" s="6" t="s">
        <v>216</v>
      </c>
      <c r="E63" s="4" t="s">
        <v>10</v>
      </c>
      <c r="F63" s="4" t="str" cm="1">
        <f t="array" ref="F63">_xlfn.IFS(
  E63="Mahuva", "Mahuva",
  E63="Jesar", "Mahuva",
  E63="Palitana", "Palitana",
  E63="Gariyadhar", "Palitana",
  E63="Talaja", "Talaja",
  E63="Vallabhipur", "Vallabhipur",
  E63="Umrala", "Vallabhipur",
  E63="Shihor", "Shihor",
  E63="Ghogha", "Bhavnagar",
  E63="Bhavnagar", "Bhavnagar"
)</f>
        <v>Mahuva</v>
      </c>
      <c r="G63" s="4" t="s">
        <v>206</v>
      </c>
      <c r="H63" s="4">
        <v>183958</v>
      </c>
      <c r="I63" s="4">
        <v>2</v>
      </c>
      <c r="J63" s="5">
        <v>45788</v>
      </c>
      <c r="K63" s="5">
        <v>45796</v>
      </c>
      <c r="M63" s="7">
        <v>1024912.96</v>
      </c>
      <c r="N63" s="7">
        <v>1001749.93</v>
      </c>
      <c r="O63" s="8">
        <v>-2.2599999999999998</v>
      </c>
      <c r="P63" s="8" t="str">
        <f>IF(O63&lt;0,"Below",IF(O63&gt;0,"Above","Equals"))</f>
        <v>Below</v>
      </c>
      <c r="Q63" s="4" t="s">
        <v>122</v>
      </c>
      <c r="R63" s="5"/>
      <c r="S63" s="6"/>
      <c r="U63" s="12">
        <v>3</v>
      </c>
      <c r="V63" s="4">
        <v>889</v>
      </c>
      <c r="W63" s="14">
        <v>45831</v>
      </c>
      <c r="X63" s="4" t="s">
        <v>50</v>
      </c>
      <c r="Y63" s="13">
        <v>90</v>
      </c>
      <c r="Z63" s="26">
        <v>45887</v>
      </c>
      <c r="AA63" s="4" t="s">
        <v>299</v>
      </c>
      <c r="AB63" s="4" t="s">
        <v>300</v>
      </c>
      <c r="AC63" s="33">
        <v>78048721870</v>
      </c>
      <c r="AD63" s="9">
        <v>51000</v>
      </c>
      <c r="AE63" s="5">
        <v>45863</v>
      </c>
      <c r="AF63" s="11"/>
      <c r="AG63" s="11"/>
      <c r="AI63" s="9"/>
      <c r="AJ63" s="11"/>
      <c r="AK63" s="4">
        <v>1169</v>
      </c>
      <c r="AL63" s="14">
        <v>45887</v>
      </c>
    </row>
    <row r="64" spans="1:38" ht="43.5">
      <c r="A64" s="4" t="s">
        <v>50</v>
      </c>
      <c r="B64" s="4">
        <v>3</v>
      </c>
      <c r="C64" s="4">
        <v>19</v>
      </c>
      <c r="D64" s="6" t="s">
        <v>226</v>
      </c>
      <c r="E64" s="4" t="s">
        <v>10</v>
      </c>
      <c r="F64" s="4" t="str" cm="1">
        <f t="array" ref="F64">_xlfn.IFS(
  E64="Mahuva", "Mahuva",
  E64="Jesar", "Mahuva",
  E64="Palitana", "Palitana",
  E64="Gariyadhar", "Palitana",
  E64="Talaja", "Talaja",
  E64="Vallabhipur", "Vallabhipur",
  E64="Umrala", "Vallabhipur",
  E64="Shihor", "Shihor",
  E64="Ghogha", "Bhavnagar",
  E64="Bhavnagar", "Bhavnagar"
)</f>
        <v>Mahuva</v>
      </c>
      <c r="G64" s="4" t="s">
        <v>206</v>
      </c>
      <c r="H64" s="4">
        <v>183959</v>
      </c>
      <c r="I64" s="4">
        <v>2</v>
      </c>
      <c r="O64" s="8"/>
      <c r="P64" s="8" t="str">
        <f>IF(O64&lt;0,"Below",IF(O64&gt;0,"Above","Equals"))</f>
        <v>Equals</v>
      </c>
      <c r="R64" s="5"/>
      <c r="S64" s="6"/>
      <c r="U64" s="12"/>
      <c r="V64" s="4"/>
      <c r="X64" s="4"/>
      <c r="Y64" s="13"/>
      <c r="Z64" s="13"/>
      <c r="AA64" s="4"/>
      <c r="AB64" s="4"/>
      <c r="AD64" s="9"/>
      <c r="AE64" s="5"/>
      <c r="AF64" s="11"/>
      <c r="AG64" s="11"/>
      <c r="AI64" s="9"/>
      <c r="AJ64" s="11"/>
      <c r="AK64" s="4"/>
    </row>
    <row r="65" spans="1:38" ht="43.5">
      <c r="A65" s="4" t="s">
        <v>50</v>
      </c>
      <c r="B65" s="4">
        <v>4</v>
      </c>
      <c r="C65" s="4">
        <v>4</v>
      </c>
      <c r="D65" s="6" t="s">
        <v>227</v>
      </c>
      <c r="E65" s="4" t="s">
        <v>228</v>
      </c>
      <c r="F65" s="4" t="str" cm="1">
        <f t="array" ref="F65">_xlfn.IFS(
  E65="Mahuva", "Mahuva",
  E65="Jesar", "Mahuva",
  E65="Palitana", "Palitana",
  E65="Gariyadhar", "Palitana",
  E65="Talaja", "Talaja",
  E65="Vallabhipur", "Vallabhipur",
  E65="Umrala", "Vallabhipur",
  E65="Shihor", "Shihor",
  E65="Ghogha", "Bhavnagar",
  E65="Bhavnagar", "Bhavnagar"
)</f>
        <v>Mahuva</v>
      </c>
      <c r="G65" s="4" t="s">
        <v>206</v>
      </c>
      <c r="H65" s="4">
        <v>187879</v>
      </c>
      <c r="I65" s="4">
        <v>1</v>
      </c>
      <c r="M65" s="7">
        <v>2079935.08</v>
      </c>
      <c r="N65" s="7">
        <v>1755465.21</v>
      </c>
      <c r="O65" s="8">
        <v>-15.6</v>
      </c>
      <c r="P65" s="8" t="str">
        <f>IF(O65&lt;0,"Below",IF(O65&gt;0,"Above","Equals"))</f>
        <v>Below</v>
      </c>
      <c r="Q65" s="4" t="s">
        <v>229</v>
      </c>
      <c r="R65" s="5"/>
      <c r="S65" s="6"/>
      <c r="U65" s="12">
        <v>4</v>
      </c>
      <c r="V65" s="4">
        <v>899</v>
      </c>
      <c r="W65" s="14">
        <v>45835</v>
      </c>
      <c r="X65" s="4" t="s">
        <v>50</v>
      </c>
      <c r="Y65" s="13">
        <v>45</v>
      </c>
      <c r="Z65" s="26">
        <v>45852</v>
      </c>
      <c r="AA65" s="4" t="s">
        <v>299</v>
      </c>
      <c r="AB65" s="4" t="s">
        <v>300</v>
      </c>
      <c r="AC65" s="33">
        <v>78048407397</v>
      </c>
      <c r="AD65" s="9">
        <v>88000</v>
      </c>
      <c r="AE65" s="5">
        <v>45845</v>
      </c>
      <c r="AF65" s="4" t="s">
        <v>299</v>
      </c>
      <c r="AG65" s="4" t="s">
        <v>300</v>
      </c>
      <c r="AH65" s="33">
        <v>78048460248</v>
      </c>
      <c r="AI65" s="9">
        <v>24000</v>
      </c>
      <c r="AJ65" s="5">
        <v>45848</v>
      </c>
      <c r="AK65" s="4">
        <v>949</v>
      </c>
      <c r="AL65" s="14">
        <v>45852</v>
      </c>
    </row>
    <row r="66" spans="1:38" ht="43.5">
      <c r="A66" s="4" t="s">
        <v>50</v>
      </c>
      <c r="B66" s="4">
        <v>4</v>
      </c>
      <c r="C66" s="4">
        <v>6</v>
      </c>
      <c r="D66" s="6" t="s">
        <v>230</v>
      </c>
      <c r="E66" s="4" t="s">
        <v>228</v>
      </c>
      <c r="F66" s="4" t="str" cm="1">
        <f t="array" ref="F66">_xlfn.IFS(
  E66="Mahuva", "Mahuva",
  E66="Jesar", "Mahuva",
  E66="Palitana", "Palitana",
  E66="Gariyadhar", "Palitana",
  E66="Talaja", "Talaja",
  E66="Vallabhipur", "Vallabhipur",
  E66="Umrala", "Vallabhipur",
  E66="Shihor", "Shihor",
  E66="Ghogha", "Bhavnagar",
  E66="Bhavnagar", "Bhavnagar"
)</f>
        <v>Mahuva</v>
      </c>
      <c r="G66" s="4" t="s">
        <v>206</v>
      </c>
      <c r="H66" s="4">
        <v>187881</v>
      </c>
      <c r="I66" s="4">
        <v>1</v>
      </c>
      <c r="M66" s="7">
        <v>2079935.08</v>
      </c>
      <c r="N66" s="7">
        <v>1965330.66</v>
      </c>
      <c r="O66" s="8">
        <v>-5.51</v>
      </c>
      <c r="P66" s="8" t="str">
        <f>IF(O66&lt;0,"Below",IF(O66&gt;0,"Above","Equals"))</f>
        <v>Below</v>
      </c>
      <c r="Q66" s="4" t="s">
        <v>231</v>
      </c>
      <c r="R66" s="5"/>
      <c r="S66" s="6"/>
      <c r="U66" s="12">
        <v>4</v>
      </c>
      <c r="V66" s="4">
        <v>900</v>
      </c>
      <c r="W66" s="14">
        <v>45835</v>
      </c>
      <c r="X66" s="4" t="s">
        <v>50</v>
      </c>
      <c r="Y66" s="13">
        <v>94</v>
      </c>
      <c r="Z66" s="26">
        <v>45887</v>
      </c>
      <c r="AA66" s="4" t="s">
        <v>299</v>
      </c>
      <c r="AB66" s="4" t="s">
        <v>300</v>
      </c>
      <c r="AC66" s="33">
        <v>78048506863</v>
      </c>
      <c r="AD66" s="9">
        <v>99000</v>
      </c>
      <c r="AE66" s="5">
        <v>45852</v>
      </c>
      <c r="AF66" s="11"/>
      <c r="AG66" s="11"/>
      <c r="AI66" s="9"/>
      <c r="AJ66" s="11"/>
      <c r="AK66" s="4">
        <v>1173</v>
      </c>
      <c r="AL66" s="14">
        <v>45887</v>
      </c>
    </row>
    <row r="67" spans="1:38" ht="43.5">
      <c r="A67" s="4" t="s">
        <v>50</v>
      </c>
      <c r="B67" s="4">
        <v>4</v>
      </c>
      <c r="C67" s="4">
        <v>8</v>
      </c>
      <c r="D67" s="6" t="s">
        <v>232</v>
      </c>
      <c r="E67" s="4" t="s">
        <v>228</v>
      </c>
      <c r="F67" s="4" t="str" cm="1">
        <f t="array" ref="F67">_xlfn.IFS(
  E67="Mahuva", "Mahuva",
  E67="Jesar", "Mahuva",
  E67="Palitana", "Palitana",
  E67="Gariyadhar", "Palitana",
  E67="Talaja", "Talaja",
  E67="Vallabhipur", "Vallabhipur",
  E67="Umrala", "Vallabhipur",
  E67="Shihor", "Shihor",
  E67="Ghogha", "Bhavnagar",
  E67="Bhavnagar", "Bhavnagar"
)</f>
        <v>Mahuva</v>
      </c>
      <c r="G67" s="4" t="s">
        <v>206</v>
      </c>
      <c r="H67" s="4">
        <v>187883</v>
      </c>
      <c r="I67" s="4">
        <v>1</v>
      </c>
      <c r="M67" s="7">
        <v>2079935.08</v>
      </c>
      <c r="N67" s="7">
        <v>1892532.93</v>
      </c>
      <c r="O67" s="8">
        <v>-9.01</v>
      </c>
      <c r="P67" s="8" t="str">
        <f>IF(O67&lt;0,"Below",IF(O67&gt;0,"Above","Equals"))</f>
        <v>Below</v>
      </c>
      <c r="Q67" s="4" t="s">
        <v>13</v>
      </c>
      <c r="R67" s="5"/>
      <c r="S67" s="6"/>
      <c r="U67" s="12">
        <v>4</v>
      </c>
      <c r="V67" s="4">
        <v>901</v>
      </c>
      <c r="W67" s="14">
        <v>45835</v>
      </c>
      <c r="X67" s="4" t="s">
        <v>50</v>
      </c>
      <c r="Y67" s="13">
        <v>193</v>
      </c>
      <c r="Z67" s="26">
        <v>45943</v>
      </c>
      <c r="AA67" s="4" t="s">
        <v>299</v>
      </c>
      <c r="AB67" s="4" t="s">
        <v>390</v>
      </c>
      <c r="AC67" s="33" t="s">
        <v>733</v>
      </c>
      <c r="AD67" s="9">
        <v>95000</v>
      </c>
      <c r="AE67" s="5">
        <v>45926</v>
      </c>
      <c r="AF67" s="11"/>
      <c r="AG67" s="11"/>
      <c r="AI67" s="9"/>
      <c r="AJ67" s="11"/>
      <c r="AK67" s="4">
        <v>1476</v>
      </c>
      <c r="AL67" s="14">
        <v>45943</v>
      </c>
    </row>
    <row r="68" spans="1:38" ht="43.5">
      <c r="A68" s="4" t="s">
        <v>50</v>
      </c>
      <c r="B68" s="4">
        <v>4</v>
      </c>
      <c r="C68" s="4">
        <v>9</v>
      </c>
      <c r="D68" s="6" t="s">
        <v>233</v>
      </c>
      <c r="E68" s="4" t="s">
        <v>2</v>
      </c>
      <c r="F68" s="4" t="str" cm="1">
        <f t="array" ref="F68">_xlfn.IFS(
  E68="Mahuva", "Mahuva",
  E68="Jesar", "Mahuva",
  E68="Palitana", "Palitana",
  E68="Gariyadhar", "Palitana",
  E68="Talaja", "Talaja",
  E68="Vallabhipur", "Vallabhipur",
  E68="Umrala", "Vallabhipur",
  E68="Shihor", "Shihor",
  E68="Ghogha", "Bhavnagar",
  E68="Bhavnagar", "Bhavnagar"
)</f>
        <v>Palitana</v>
      </c>
      <c r="G68" s="4" t="s">
        <v>206</v>
      </c>
      <c r="H68" s="4">
        <v>187884</v>
      </c>
      <c r="I68" s="4">
        <v>1</v>
      </c>
      <c r="M68" s="7">
        <v>2079935.08</v>
      </c>
      <c r="N68" s="7">
        <v>1965330.66</v>
      </c>
      <c r="O68" s="8">
        <v>-5.51</v>
      </c>
      <c r="P68" s="8" t="str">
        <f>IF(O68&lt;0,"Below",IF(O68&gt;0,"Above","Equals"))</f>
        <v>Below</v>
      </c>
      <c r="Q68" s="4" t="s">
        <v>231</v>
      </c>
      <c r="R68" s="5"/>
      <c r="S68" s="6"/>
      <c r="U68" s="12">
        <v>4</v>
      </c>
      <c r="V68" s="4">
        <v>902</v>
      </c>
      <c r="W68" s="14">
        <v>45835</v>
      </c>
      <c r="X68" s="4" t="s">
        <v>50</v>
      </c>
      <c r="Y68" s="13">
        <v>95</v>
      </c>
      <c r="Z68" s="26">
        <v>45887</v>
      </c>
      <c r="AA68" s="4" t="s">
        <v>299</v>
      </c>
      <c r="AB68" s="4" t="s">
        <v>300</v>
      </c>
      <c r="AC68" s="33">
        <v>78048506829</v>
      </c>
      <c r="AD68" s="9">
        <v>99000</v>
      </c>
      <c r="AE68" s="5">
        <v>45852</v>
      </c>
      <c r="AF68" s="11"/>
      <c r="AG68" s="11"/>
      <c r="AI68" s="9"/>
      <c r="AJ68" s="11"/>
      <c r="AK68" s="4">
        <v>1174</v>
      </c>
      <c r="AL68" s="14">
        <v>45887</v>
      </c>
    </row>
    <row r="69" spans="1:38" ht="43.5">
      <c r="A69" s="4" t="s">
        <v>50</v>
      </c>
      <c r="B69" s="4">
        <v>4</v>
      </c>
      <c r="C69" s="4">
        <v>10</v>
      </c>
      <c r="D69" s="6" t="s">
        <v>296</v>
      </c>
      <c r="E69" s="4" t="s">
        <v>2</v>
      </c>
      <c r="F69" s="4" t="str" cm="1">
        <f t="array" ref="F69">_xlfn.IFS(
  E69="Mahuva", "Mahuva",
  E69="Jesar", "Mahuva",
  E69="Palitana", "Palitana",
  E69="Gariyadhar", "Palitana",
  E69="Talaja", "Talaja",
  E69="Vallabhipur", "Vallabhipur",
  E69="Umrala", "Vallabhipur",
  E69="Shihor", "Shihor",
  E69="Ghogha", "Bhavnagar",
  E69="Bhavnagar", "Bhavnagar"
)</f>
        <v>Palitana</v>
      </c>
      <c r="G69" s="4" t="s">
        <v>206</v>
      </c>
      <c r="H69" s="4">
        <v>187885</v>
      </c>
      <c r="I69" s="4">
        <v>1</v>
      </c>
      <c r="M69" s="7">
        <v>2079935.08</v>
      </c>
      <c r="N69" s="7">
        <v>1965330.66</v>
      </c>
      <c r="O69" s="8">
        <v>-5.51</v>
      </c>
      <c r="P69" s="8" t="str">
        <f>IF(O69&lt;0,"Below",IF(O69&gt;0,"Above","Equals"))</f>
        <v>Below</v>
      </c>
      <c r="Q69" s="4" t="s">
        <v>231</v>
      </c>
      <c r="R69" s="5"/>
      <c r="S69" s="6"/>
      <c r="U69" s="12">
        <v>4</v>
      </c>
      <c r="V69" s="4">
        <v>903</v>
      </c>
      <c r="W69" s="14">
        <v>45835</v>
      </c>
      <c r="X69" s="4" t="s">
        <v>50</v>
      </c>
      <c r="Y69" s="13">
        <v>96</v>
      </c>
      <c r="Z69" s="26">
        <v>45887</v>
      </c>
      <c r="AA69" s="4" t="s">
        <v>299</v>
      </c>
      <c r="AB69" s="4" t="s">
        <v>300</v>
      </c>
      <c r="AC69" s="33">
        <v>78048506193</v>
      </c>
      <c r="AD69" s="9">
        <v>99000</v>
      </c>
      <c r="AE69" s="5">
        <v>45852</v>
      </c>
      <c r="AF69" s="11"/>
      <c r="AG69" s="11"/>
      <c r="AI69" s="9"/>
      <c r="AJ69" s="11"/>
      <c r="AK69" s="4">
        <v>1175</v>
      </c>
      <c r="AL69" s="14">
        <v>45887</v>
      </c>
    </row>
    <row r="70" spans="1:38" ht="43.5">
      <c r="A70" s="4" t="s">
        <v>50</v>
      </c>
      <c r="B70" s="4">
        <v>4</v>
      </c>
      <c r="C70" s="4">
        <v>11</v>
      </c>
      <c r="D70" s="6" t="s">
        <v>234</v>
      </c>
      <c r="E70" s="4" t="s">
        <v>2</v>
      </c>
      <c r="F70" s="4" t="str" cm="1">
        <f t="array" ref="F70">_xlfn.IFS(
  E70="Mahuva", "Mahuva",
  E70="Jesar", "Mahuva",
  E70="Palitana", "Palitana",
  E70="Gariyadhar", "Palitana",
  E70="Talaja", "Talaja",
  E70="Vallabhipur", "Vallabhipur",
  E70="Umrala", "Vallabhipur",
  E70="Shihor", "Shihor",
  E70="Ghogha", "Bhavnagar",
  E70="Bhavnagar", "Bhavnagar"
)</f>
        <v>Palitana</v>
      </c>
      <c r="G70" s="4" t="s">
        <v>206</v>
      </c>
      <c r="H70" s="4">
        <v>187886</v>
      </c>
      <c r="I70" s="4">
        <v>1</v>
      </c>
      <c r="M70" s="7">
        <v>2079935.08</v>
      </c>
      <c r="N70" s="7">
        <v>1755465.21</v>
      </c>
      <c r="O70" s="8">
        <v>-15.6</v>
      </c>
      <c r="P70" s="8" t="str">
        <f>IF(O70&lt;0,"Below",IF(O70&gt;0,"Above","Equals"))</f>
        <v>Below</v>
      </c>
      <c r="Q70" s="4" t="s">
        <v>229</v>
      </c>
      <c r="R70" s="5"/>
      <c r="S70" s="6"/>
      <c r="U70" s="12">
        <v>4</v>
      </c>
      <c r="V70" s="4">
        <v>904</v>
      </c>
      <c r="W70" s="14">
        <v>45835</v>
      </c>
      <c r="X70" s="4" t="s">
        <v>50</v>
      </c>
      <c r="Y70" s="13">
        <v>46</v>
      </c>
      <c r="Z70" s="26">
        <v>45852</v>
      </c>
      <c r="AA70" s="4" t="s">
        <v>299</v>
      </c>
      <c r="AB70" s="4" t="s">
        <v>300</v>
      </c>
      <c r="AC70" s="33">
        <v>78048407364</v>
      </c>
      <c r="AD70" s="9">
        <v>88000</v>
      </c>
      <c r="AE70" s="5">
        <v>45845</v>
      </c>
      <c r="AF70" s="4" t="s">
        <v>299</v>
      </c>
      <c r="AG70" s="4" t="s">
        <v>300</v>
      </c>
      <c r="AH70" s="33">
        <v>78048459947</v>
      </c>
      <c r="AI70" s="9">
        <v>24000</v>
      </c>
      <c r="AJ70" s="5">
        <v>45848</v>
      </c>
      <c r="AK70" s="4">
        <v>950</v>
      </c>
      <c r="AL70" s="14">
        <v>45852</v>
      </c>
    </row>
    <row r="71" spans="1:38" ht="43.5">
      <c r="A71" s="4" t="s">
        <v>50</v>
      </c>
      <c r="B71" s="4">
        <v>4</v>
      </c>
      <c r="C71" s="4">
        <v>12</v>
      </c>
      <c r="D71" s="6" t="s">
        <v>235</v>
      </c>
      <c r="E71" s="4" t="s">
        <v>2</v>
      </c>
      <c r="F71" s="4" t="str" cm="1">
        <f t="array" ref="F71">_xlfn.IFS(
  E71="Mahuva", "Mahuva",
  E71="Jesar", "Mahuva",
  E71="Palitana", "Palitana",
  E71="Gariyadhar", "Palitana",
  E71="Talaja", "Talaja",
  E71="Vallabhipur", "Vallabhipur",
  E71="Umrala", "Vallabhipur",
  E71="Shihor", "Shihor",
  E71="Ghogha", "Bhavnagar",
  E71="Bhavnagar", "Bhavnagar"
)</f>
        <v>Palitana</v>
      </c>
      <c r="G71" s="4" t="s">
        <v>206</v>
      </c>
      <c r="H71" s="4">
        <v>187887</v>
      </c>
      <c r="I71" s="4">
        <v>1</v>
      </c>
      <c r="M71" s="7">
        <v>2079935.08</v>
      </c>
      <c r="N71" s="7">
        <v>1755465.21</v>
      </c>
      <c r="O71" s="8">
        <v>-15.6</v>
      </c>
      <c r="P71" s="8" t="str">
        <f>IF(O71&lt;0,"Below",IF(O71&gt;0,"Above","Equals"))</f>
        <v>Below</v>
      </c>
      <c r="Q71" s="4" t="s">
        <v>229</v>
      </c>
      <c r="R71" s="5"/>
      <c r="S71" s="6"/>
      <c r="U71" s="12">
        <v>4</v>
      </c>
      <c r="V71" s="4">
        <v>905</v>
      </c>
      <c r="W71" s="14">
        <v>45835</v>
      </c>
      <c r="X71" s="4" t="s">
        <v>50</v>
      </c>
      <c r="Y71" s="13">
        <v>47</v>
      </c>
      <c r="Z71" s="26">
        <v>45852</v>
      </c>
      <c r="AA71" s="4" t="s">
        <v>299</v>
      </c>
      <c r="AB71" s="4" t="s">
        <v>300</v>
      </c>
      <c r="AC71" s="33">
        <v>78048407353</v>
      </c>
      <c r="AD71" s="9">
        <v>88000</v>
      </c>
      <c r="AE71" s="5">
        <v>45845</v>
      </c>
      <c r="AF71" s="4" t="s">
        <v>299</v>
      </c>
      <c r="AG71" s="4" t="s">
        <v>300</v>
      </c>
      <c r="AH71" s="33">
        <v>78048460306</v>
      </c>
      <c r="AI71" s="9">
        <v>24000</v>
      </c>
      <c r="AJ71" s="5">
        <v>45848</v>
      </c>
      <c r="AK71" s="4">
        <v>951</v>
      </c>
      <c r="AL71" s="14">
        <v>45852</v>
      </c>
    </row>
    <row r="72" spans="1:38" ht="43.5">
      <c r="A72" s="4" t="s">
        <v>50</v>
      </c>
      <c r="B72" s="4">
        <v>4</v>
      </c>
      <c r="C72" s="4">
        <v>13</v>
      </c>
      <c r="D72" s="6" t="s">
        <v>236</v>
      </c>
      <c r="E72" s="4" t="s">
        <v>2</v>
      </c>
      <c r="F72" s="4" t="str" cm="1">
        <f t="array" ref="F72">_xlfn.IFS(
  E72="Mahuva", "Mahuva",
  E72="Jesar", "Mahuva",
  E72="Palitana", "Palitana",
  E72="Gariyadhar", "Palitana",
  E72="Talaja", "Talaja",
  E72="Vallabhipur", "Vallabhipur",
  E72="Umrala", "Vallabhipur",
  E72="Shihor", "Shihor",
  E72="Ghogha", "Bhavnagar",
  E72="Bhavnagar", "Bhavnagar"
)</f>
        <v>Palitana</v>
      </c>
      <c r="G72" s="4" t="s">
        <v>206</v>
      </c>
      <c r="H72" s="4">
        <v>187888</v>
      </c>
      <c r="I72" s="4">
        <v>1</v>
      </c>
      <c r="M72" s="7">
        <v>2079935.08</v>
      </c>
      <c r="N72" s="7">
        <v>1923731.96</v>
      </c>
      <c r="O72" s="8">
        <v>-7.51</v>
      </c>
      <c r="P72" s="8" t="str">
        <f>IF(O72&lt;0,"Below",IF(O72&gt;0,"Above","Equals"))</f>
        <v>Below</v>
      </c>
      <c r="Q72" s="4" t="s">
        <v>237</v>
      </c>
      <c r="R72" s="5"/>
      <c r="S72" s="6"/>
      <c r="U72" s="12">
        <v>4</v>
      </c>
      <c r="V72" s="4">
        <v>906</v>
      </c>
      <c r="W72" s="14">
        <v>45835</v>
      </c>
      <c r="X72" s="4" t="s">
        <v>50</v>
      </c>
      <c r="Y72" s="13">
        <v>93</v>
      </c>
      <c r="Z72" s="26">
        <v>45887</v>
      </c>
      <c r="AA72" s="4" t="s">
        <v>299</v>
      </c>
      <c r="AB72" s="4" t="s">
        <v>312</v>
      </c>
      <c r="AC72" s="33" t="s">
        <v>546</v>
      </c>
      <c r="AD72" s="9">
        <v>97000</v>
      </c>
      <c r="AE72" s="5">
        <v>45857</v>
      </c>
      <c r="AF72" s="11"/>
      <c r="AG72" s="11"/>
      <c r="AI72" s="9"/>
      <c r="AJ72" s="11"/>
      <c r="AK72" s="4">
        <v>1172</v>
      </c>
      <c r="AL72" s="14">
        <v>45887</v>
      </c>
    </row>
    <row r="73" spans="1:38" ht="43.5">
      <c r="A73" s="4" t="s">
        <v>50</v>
      </c>
      <c r="B73" s="4">
        <v>4</v>
      </c>
      <c r="C73" s="4">
        <v>16</v>
      </c>
      <c r="D73" s="6" t="s">
        <v>238</v>
      </c>
      <c r="E73" s="4" t="s">
        <v>2</v>
      </c>
      <c r="F73" s="4" t="str" cm="1">
        <f t="array" ref="F73">_xlfn.IFS(
  E73="Mahuva", "Mahuva",
  E73="Jesar", "Mahuva",
  E73="Palitana", "Palitana",
  E73="Gariyadhar", "Palitana",
  E73="Talaja", "Talaja",
  E73="Vallabhipur", "Vallabhipur",
  E73="Umrala", "Vallabhipur",
  E73="Shihor", "Shihor",
  E73="Ghogha", "Bhavnagar",
  E73="Bhavnagar", "Bhavnagar"
)</f>
        <v>Palitana</v>
      </c>
      <c r="G73" s="4" t="s">
        <v>206</v>
      </c>
      <c r="H73" s="4">
        <v>187891</v>
      </c>
      <c r="I73" s="4">
        <v>1</v>
      </c>
      <c r="M73" s="7">
        <v>2079935.08</v>
      </c>
      <c r="N73" s="7">
        <v>1755465.21</v>
      </c>
      <c r="O73" s="8">
        <v>-15.6</v>
      </c>
      <c r="P73" s="8" t="str">
        <f>IF(O73&lt;0,"Below",IF(O73&gt;0,"Above","Equals"))</f>
        <v>Below</v>
      </c>
      <c r="Q73" s="4" t="s">
        <v>229</v>
      </c>
      <c r="R73" s="5"/>
      <c r="S73" s="6"/>
      <c r="U73" s="12">
        <v>4</v>
      </c>
      <c r="V73" s="4">
        <v>907</v>
      </c>
      <c r="W73" s="14">
        <v>45835</v>
      </c>
      <c r="X73" s="4" t="s">
        <v>50</v>
      </c>
      <c r="Y73" s="13">
        <v>48</v>
      </c>
      <c r="Z73" s="26">
        <v>45852</v>
      </c>
      <c r="AA73" s="4" t="s">
        <v>299</v>
      </c>
      <c r="AB73" s="4" t="s">
        <v>300</v>
      </c>
      <c r="AC73" s="33">
        <v>78048407342</v>
      </c>
      <c r="AD73" s="9">
        <v>88000</v>
      </c>
      <c r="AE73" s="5">
        <v>45845</v>
      </c>
      <c r="AF73" s="4" t="s">
        <v>299</v>
      </c>
      <c r="AG73" s="4" t="s">
        <v>300</v>
      </c>
      <c r="AH73" s="33">
        <v>78048460328</v>
      </c>
      <c r="AI73" s="9">
        <v>24000</v>
      </c>
      <c r="AJ73" s="5">
        <v>45848</v>
      </c>
      <c r="AK73" s="4">
        <v>952</v>
      </c>
      <c r="AL73" s="14">
        <v>45852</v>
      </c>
    </row>
    <row r="74" spans="1:38" ht="43.5">
      <c r="A74" s="4" t="s">
        <v>50</v>
      </c>
      <c r="B74" s="4">
        <v>4</v>
      </c>
      <c r="C74" s="4">
        <v>19</v>
      </c>
      <c r="D74" s="6" t="s">
        <v>239</v>
      </c>
      <c r="E74" s="4" t="s">
        <v>2</v>
      </c>
      <c r="F74" s="4" t="str" cm="1">
        <f t="array" ref="F74">_xlfn.IFS(
  E74="Mahuva", "Mahuva",
  E74="Jesar", "Mahuva",
  E74="Palitana", "Palitana",
  E74="Gariyadhar", "Palitana",
  E74="Talaja", "Talaja",
  E74="Vallabhipur", "Vallabhipur",
  E74="Umrala", "Vallabhipur",
  E74="Shihor", "Shihor",
  E74="Ghogha", "Bhavnagar",
  E74="Bhavnagar", "Bhavnagar"
)</f>
        <v>Palitana</v>
      </c>
      <c r="G74" s="4" t="s">
        <v>206</v>
      </c>
      <c r="H74" s="4">
        <v>187894</v>
      </c>
      <c r="I74" s="4">
        <v>1</v>
      </c>
      <c r="M74" s="7">
        <v>2079935.08</v>
      </c>
      <c r="N74" s="7">
        <v>1923939.95</v>
      </c>
      <c r="O74" s="8">
        <v>-7.5</v>
      </c>
      <c r="P74" s="8" t="str">
        <f>IF(O74&lt;0,"Below",IF(O74&gt;0,"Above","Equals"))</f>
        <v>Below</v>
      </c>
      <c r="Q74" s="4" t="s">
        <v>231</v>
      </c>
      <c r="R74" s="5"/>
      <c r="S74" s="6"/>
      <c r="U74" s="12">
        <v>4</v>
      </c>
      <c r="V74" s="4">
        <v>908</v>
      </c>
      <c r="W74" s="14">
        <v>45835</v>
      </c>
      <c r="X74" s="4" t="s">
        <v>50</v>
      </c>
      <c r="Y74" s="13">
        <v>97</v>
      </c>
      <c r="Z74" s="26">
        <v>45887</v>
      </c>
      <c r="AA74" s="4" t="s">
        <v>299</v>
      </c>
      <c r="AB74" s="4" t="s">
        <v>300</v>
      </c>
      <c r="AC74" s="33">
        <v>78048506910</v>
      </c>
      <c r="AD74" s="9">
        <v>97000</v>
      </c>
      <c r="AE74" s="5">
        <v>45852</v>
      </c>
      <c r="AF74" s="11"/>
      <c r="AG74" s="11"/>
      <c r="AI74" s="9"/>
      <c r="AJ74" s="11"/>
      <c r="AK74" s="4">
        <v>1176</v>
      </c>
      <c r="AL74" s="14">
        <v>45887</v>
      </c>
    </row>
    <row r="75" spans="1:38" ht="43.5">
      <c r="A75" s="4" t="s">
        <v>50</v>
      </c>
      <c r="B75" s="4">
        <v>4</v>
      </c>
      <c r="C75" s="4">
        <v>20</v>
      </c>
      <c r="D75" s="6" t="s">
        <v>240</v>
      </c>
      <c r="E75" s="4" t="s">
        <v>2</v>
      </c>
      <c r="F75" s="4" t="str" cm="1">
        <f t="array" ref="F75">_xlfn.IFS(
  E75="Mahuva", "Mahuva",
  E75="Jesar", "Mahuva",
  E75="Palitana", "Palitana",
  E75="Gariyadhar", "Palitana",
  E75="Talaja", "Talaja",
  E75="Vallabhipur", "Vallabhipur",
  E75="Umrala", "Vallabhipur",
  E75="Shihor", "Shihor",
  E75="Ghogha", "Bhavnagar",
  E75="Bhavnagar", "Bhavnagar"
)</f>
        <v>Palitana</v>
      </c>
      <c r="G75" s="4" t="s">
        <v>206</v>
      </c>
      <c r="H75" s="4">
        <v>187895</v>
      </c>
      <c r="I75" s="4">
        <v>1</v>
      </c>
      <c r="M75" s="7">
        <v>2079935.08</v>
      </c>
      <c r="N75" s="7">
        <v>1755465.21</v>
      </c>
      <c r="O75" s="8">
        <v>-15.6</v>
      </c>
      <c r="P75" s="8" t="str">
        <f>IF(O75&lt;0,"Below",IF(O75&gt;0,"Above","Equals"))</f>
        <v>Below</v>
      </c>
      <c r="Q75" s="4" t="s">
        <v>229</v>
      </c>
      <c r="R75" s="5"/>
      <c r="S75" s="6"/>
      <c r="U75" s="12">
        <v>4</v>
      </c>
      <c r="V75" s="4">
        <v>909</v>
      </c>
      <c r="W75" s="14">
        <v>45835</v>
      </c>
      <c r="X75" s="4" t="s">
        <v>50</v>
      </c>
      <c r="Y75" s="13">
        <v>49</v>
      </c>
      <c r="Z75" s="26">
        <v>45852</v>
      </c>
      <c r="AA75" s="4" t="s">
        <v>299</v>
      </c>
      <c r="AB75" s="4" t="s">
        <v>300</v>
      </c>
      <c r="AC75" s="33">
        <v>78048407331</v>
      </c>
      <c r="AD75" s="9">
        <v>88000</v>
      </c>
      <c r="AE75" s="5">
        <v>45845</v>
      </c>
      <c r="AF75" s="4" t="s">
        <v>299</v>
      </c>
      <c r="AG75" s="4" t="s">
        <v>300</v>
      </c>
      <c r="AH75" s="33">
        <v>78048460282</v>
      </c>
      <c r="AI75" s="9">
        <v>24000</v>
      </c>
      <c r="AJ75" s="5">
        <v>45848</v>
      </c>
      <c r="AK75" s="4">
        <v>953</v>
      </c>
      <c r="AL75" s="14">
        <v>45852</v>
      </c>
    </row>
    <row r="76" spans="1:38" ht="43.5">
      <c r="A76" s="4" t="s">
        <v>50</v>
      </c>
      <c r="B76" s="4">
        <v>4</v>
      </c>
      <c r="C76" s="4">
        <v>22</v>
      </c>
      <c r="D76" s="6" t="s">
        <v>241</v>
      </c>
      <c r="E76" s="4" t="s">
        <v>2</v>
      </c>
      <c r="F76" s="4" t="str" cm="1">
        <f t="array" ref="F76">_xlfn.IFS(
  E76="Mahuva", "Mahuva",
  E76="Jesar", "Mahuva",
  E76="Palitana", "Palitana",
  E76="Gariyadhar", "Palitana",
  E76="Talaja", "Talaja",
  E76="Vallabhipur", "Vallabhipur",
  E76="Umrala", "Vallabhipur",
  E76="Shihor", "Shihor",
  E76="Ghogha", "Bhavnagar",
  E76="Bhavnagar", "Bhavnagar"
)</f>
        <v>Palitana</v>
      </c>
      <c r="G76" s="4" t="s">
        <v>206</v>
      </c>
      <c r="H76" s="4">
        <v>187897</v>
      </c>
      <c r="I76" s="4">
        <v>1</v>
      </c>
      <c r="M76" s="7">
        <v>2079935.08</v>
      </c>
      <c r="N76" s="7">
        <v>1980930.17</v>
      </c>
      <c r="O76" s="8">
        <v>-4.76</v>
      </c>
      <c r="P76" s="8" t="str">
        <f>IF(O76&lt;0,"Below",IF(O76&gt;0,"Above","Equals"))</f>
        <v>Below</v>
      </c>
      <c r="Q76" s="4" t="s">
        <v>242</v>
      </c>
      <c r="R76" s="5"/>
      <c r="S76" s="6"/>
      <c r="U76" s="12">
        <v>4</v>
      </c>
      <c r="V76" s="4">
        <v>910</v>
      </c>
      <c r="W76" s="14">
        <v>45835</v>
      </c>
      <c r="X76" s="4" t="s">
        <v>50</v>
      </c>
      <c r="Y76" s="13">
        <v>236</v>
      </c>
      <c r="Z76" s="26">
        <v>46004</v>
      </c>
      <c r="AA76" s="4" t="s">
        <v>299</v>
      </c>
      <c r="AB76" s="4" t="s">
        <v>725</v>
      </c>
      <c r="AC76" s="33" t="s">
        <v>823</v>
      </c>
      <c r="AD76" s="9">
        <v>100000</v>
      </c>
      <c r="AE76" s="5">
        <v>45996</v>
      </c>
      <c r="AF76" s="11"/>
      <c r="AG76" s="11"/>
      <c r="AI76" s="9"/>
      <c r="AJ76" s="11"/>
      <c r="AK76" s="4">
        <v>1701</v>
      </c>
      <c r="AL76" s="26">
        <v>46004</v>
      </c>
    </row>
    <row r="77" spans="1:38" ht="43.5">
      <c r="A77" s="4" t="s">
        <v>50</v>
      </c>
      <c r="B77" s="4">
        <v>4</v>
      </c>
      <c r="C77" s="4">
        <v>28</v>
      </c>
      <c r="D77" s="6" t="s">
        <v>243</v>
      </c>
      <c r="E77" s="4" t="s">
        <v>10</v>
      </c>
      <c r="F77" s="4" t="str" cm="1">
        <f t="array" ref="F77">_xlfn.IFS(
  E77="Mahuva", "Mahuva",
  E77="Jesar", "Mahuva",
  E77="Palitana", "Palitana",
  E77="Gariyadhar", "Palitana",
  E77="Talaja", "Talaja",
  E77="Vallabhipur", "Vallabhipur",
  E77="Umrala", "Vallabhipur",
  E77="Shihor", "Shihor",
  E77="Ghogha", "Bhavnagar",
  E77="Bhavnagar", "Bhavnagar"
)</f>
        <v>Mahuva</v>
      </c>
      <c r="G77" s="4" t="s">
        <v>206</v>
      </c>
      <c r="H77" s="4">
        <v>187904</v>
      </c>
      <c r="I77" s="4">
        <v>1</v>
      </c>
      <c r="J77" s="5">
        <v>45795</v>
      </c>
      <c r="K77" s="5">
        <v>45803</v>
      </c>
      <c r="L77" s="5">
        <v>45804</v>
      </c>
      <c r="M77" s="7">
        <v>2079935.08</v>
      </c>
      <c r="N77" s="7">
        <v>1967618.59</v>
      </c>
      <c r="O77" s="8">
        <v>-5.4</v>
      </c>
      <c r="P77" s="8" t="str">
        <f>IF(O77&lt;0,"Below",IF(O77&gt;0,"Above","Equals"))</f>
        <v>Below</v>
      </c>
      <c r="Q77" s="4" t="s">
        <v>244</v>
      </c>
      <c r="R77" s="5"/>
      <c r="S77" s="6"/>
      <c r="U77" s="12">
        <v>4</v>
      </c>
      <c r="V77" s="4">
        <v>911</v>
      </c>
      <c r="W77" s="14">
        <v>45835</v>
      </c>
      <c r="X77" s="4" t="s">
        <v>50</v>
      </c>
      <c r="Y77" s="13">
        <v>206</v>
      </c>
      <c r="Z77" s="26">
        <v>45974</v>
      </c>
      <c r="AA77" s="4" t="s">
        <v>299</v>
      </c>
      <c r="AB77" s="4" t="s">
        <v>312</v>
      </c>
      <c r="AC77" s="33">
        <v>44496602672</v>
      </c>
      <c r="AD77" s="9">
        <v>99000</v>
      </c>
      <c r="AE77" s="5">
        <v>45924</v>
      </c>
      <c r="AF77" s="11"/>
      <c r="AG77" s="11"/>
      <c r="AI77" s="9"/>
      <c r="AJ77" s="11"/>
      <c r="AK77" s="4">
        <v>1534</v>
      </c>
      <c r="AL77" s="14">
        <v>45974</v>
      </c>
    </row>
    <row r="78" spans="1:38" ht="43.5">
      <c r="A78" s="4" t="s">
        <v>50</v>
      </c>
      <c r="B78" s="4">
        <v>4</v>
      </c>
      <c r="C78" s="4">
        <v>29</v>
      </c>
      <c r="D78" s="6" t="s">
        <v>245</v>
      </c>
      <c r="E78" s="4" t="s">
        <v>10</v>
      </c>
      <c r="F78" s="4" t="str" cm="1">
        <f t="array" ref="F78">_xlfn.IFS(
  E78="Mahuva", "Mahuva",
  E78="Jesar", "Mahuva",
  E78="Palitana", "Palitana",
  E78="Gariyadhar", "Palitana",
  E78="Talaja", "Talaja",
  E78="Vallabhipur", "Vallabhipur",
  E78="Umrala", "Vallabhipur",
  E78="Shihor", "Shihor",
  E78="Ghogha", "Bhavnagar",
  E78="Bhavnagar", "Bhavnagar"
)</f>
        <v>Mahuva</v>
      </c>
      <c r="G78" s="4" t="s">
        <v>206</v>
      </c>
      <c r="H78" s="4">
        <v>187905</v>
      </c>
      <c r="I78" s="4">
        <v>1</v>
      </c>
      <c r="M78" s="7">
        <v>2079935.08</v>
      </c>
      <c r="N78" s="7">
        <v>1930179.75</v>
      </c>
      <c r="O78" s="8">
        <v>-7.2</v>
      </c>
      <c r="P78" s="8" t="str">
        <f>IF(O78&lt;0,"Below",IF(O78&gt;0,"Above","Equals"))</f>
        <v>Below</v>
      </c>
      <c r="Q78" s="4" t="s">
        <v>244</v>
      </c>
      <c r="R78" s="5"/>
      <c r="S78" s="6"/>
      <c r="U78" s="12">
        <v>4</v>
      </c>
      <c r="V78" s="4">
        <v>912</v>
      </c>
      <c r="W78" s="14">
        <v>45835</v>
      </c>
      <c r="X78" s="4" t="s">
        <v>50</v>
      </c>
      <c r="Y78" s="13">
        <v>207</v>
      </c>
      <c r="Z78" s="26">
        <v>45974</v>
      </c>
      <c r="AA78" s="4" t="s">
        <v>299</v>
      </c>
      <c r="AB78" s="4" t="s">
        <v>312</v>
      </c>
      <c r="AC78" s="33">
        <v>44496676203</v>
      </c>
      <c r="AD78" s="9">
        <v>97000</v>
      </c>
      <c r="AE78" s="5">
        <v>45924</v>
      </c>
      <c r="AF78" s="11"/>
      <c r="AG78" s="11"/>
      <c r="AI78" s="9"/>
      <c r="AJ78" s="11"/>
      <c r="AK78" s="4">
        <v>1535</v>
      </c>
      <c r="AL78" s="14">
        <v>45974</v>
      </c>
    </row>
    <row r="79" spans="1:38" ht="43.5">
      <c r="A79" s="4" t="s">
        <v>50</v>
      </c>
      <c r="B79" s="4">
        <v>4</v>
      </c>
      <c r="C79" s="4">
        <v>33</v>
      </c>
      <c r="D79" s="6" t="s">
        <v>246</v>
      </c>
      <c r="E79" s="4" t="s">
        <v>228</v>
      </c>
      <c r="F79" s="4" t="str" cm="1">
        <f t="array" ref="F79">_xlfn.IFS(
  E79="Mahuva", "Mahuva",
  E79="Jesar", "Mahuva",
  E79="Palitana", "Palitana",
  E79="Gariyadhar", "Palitana",
  E79="Talaja", "Talaja",
  E79="Vallabhipur", "Vallabhipur",
  E79="Umrala", "Vallabhipur",
  E79="Shihor", "Shihor",
  E79="Ghogha", "Bhavnagar",
  E79="Bhavnagar", "Bhavnagar"
)</f>
        <v>Mahuva</v>
      </c>
      <c r="G79" s="4" t="s">
        <v>206</v>
      </c>
      <c r="H79" s="4">
        <v>187909</v>
      </c>
      <c r="I79" s="4">
        <v>1</v>
      </c>
      <c r="M79" s="7">
        <v>2027056.59</v>
      </c>
      <c r="N79" s="7">
        <v>1844418.79</v>
      </c>
      <c r="O79" s="8">
        <v>-9.01</v>
      </c>
      <c r="P79" s="8" t="str">
        <f>IF(O79&lt;0,"Below",IF(O79&gt;0,"Above","Equals"))</f>
        <v>Below</v>
      </c>
      <c r="Q79" s="4" t="s">
        <v>13</v>
      </c>
      <c r="R79" s="5"/>
      <c r="S79" s="6"/>
      <c r="U79" s="12">
        <v>4</v>
      </c>
      <c r="V79" s="4">
        <v>913</v>
      </c>
      <c r="W79" s="14">
        <v>45835</v>
      </c>
      <c r="X79" s="4"/>
      <c r="Y79" s="13"/>
      <c r="Z79" s="13"/>
      <c r="AA79" s="4"/>
      <c r="AB79" s="4"/>
      <c r="AD79" s="9"/>
      <c r="AE79" s="5"/>
      <c r="AF79" s="11"/>
      <c r="AG79" s="11"/>
      <c r="AI79" s="9"/>
      <c r="AJ79" s="11"/>
      <c r="AK79" s="4"/>
    </row>
    <row r="80" spans="1:38" ht="43.5">
      <c r="A80" s="4" t="s">
        <v>50</v>
      </c>
      <c r="B80" s="4">
        <v>4</v>
      </c>
      <c r="C80" s="4">
        <v>37</v>
      </c>
      <c r="D80" s="6" t="s">
        <v>247</v>
      </c>
      <c r="E80" s="4" t="s">
        <v>1</v>
      </c>
      <c r="F80" s="4" t="str" cm="1">
        <f t="array" ref="F80">_xlfn.IFS(
  E80="Mahuva", "Mahuva",
  E80="Jesar", "Mahuva",
  E80="Palitana", "Palitana",
  E80="Gariyadhar", "Palitana",
  E80="Talaja", "Talaja",
  E80="Vallabhipur", "Vallabhipur",
  E80="Umrala", "Vallabhipur",
  E80="Shihor", "Shihor",
  E80="Ghogha", "Bhavnagar",
  E80="Bhavnagar", "Bhavnagar"
)</f>
        <v>Vallabhipur</v>
      </c>
      <c r="G80" s="4" t="s">
        <v>206</v>
      </c>
      <c r="H80" s="4">
        <v>187914</v>
      </c>
      <c r="I80" s="4">
        <v>1</v>
      </c>
      <c r="M80" s="7">
        <v>2027056.59</v>
      </c>
      <c r="N80" s="7">
        <v>1801850.6</v>
      </c>
      <c r="O80" s="8">
        <v>-11.11</v>
      </c>
      <c r="P80" s="8" t="str">
        <f>IF(O80&lt;0,"Below",IF(O80&gt;0,"Above","Equals"))</f>
        <v>Below</v>
      </c>
      <c r="Q80" s="4" t="s">
        <v>248</v>
      </c>
      <c r="R80" s="5"/>
      <c r="S80" s="6"/>
      <c r="U80" s="12">
        <v>4</v>
      </c>
      <c r="V80" s="4">
        <v>914</v>
      </c>
      <c r="W80" s="14">
        <v>45835</v>
      </c>
      <c r="X80" s="4" t="s">
        <v>50</v>
      </c>
      <c r="Y80" s="13">
        <v>149</v>
      </c>
      <c r="Z80" s="26">
        <v>45910</v>
      </c>
      <c r="AA80" s="4" t="s">
        <v>299</v>
      </c>
      <c r="AB80" s="4" t="s">
        <v>312</v>
      </c>
      <c r="AC80" s="33">
        <v>44412611449</v>
      </c>
      <c r="AD80" s="9">
        <v>91000</v>
      </c>
      <c r="AE80" s="5">
        <v>45897</v>
      </c>
      <c r="AF80" s="4" t="s">
        <v>299</v>
      </c>
      <c r="AG80" s="4" t="s">
        <v>312</v>
      </c>
      <c r="AH80" s="33">
        <v>44412614122</v>
      </c>
      <c r="AI80" s="9">
        <v>5000</v>
      </c>
      <c r="AJ80" s="5">
        <v>45897</v>
      </c>
      <c r="AK80" s="4">
        <v>1293</v>
      </c>
      <c r="AL80" s="14">
        <v>45910</v>
      </c>
    </row>
    <row r="81" spans="1:38" ht="43.5">
      <c r="A81" s="4" t="s">
        <v>50</v>
      </c>
      <c r="B81" s="4">
        <v>4</v>
      </c>
      <c r="C81" s="4">
        <v>39</v>
      </c>
      <c r="D81" s="6" t="s">
        <v>249</v>
      </c>
      <c r="E81" s="4" t="s">
        <v>1</v>
      </c>
      <c r="F81" s="4" t="str" cm="1">
        <f t="array" ref="F81">_xlfn.IFS(
  E81="Mahuva", "Mahuva",
  E81="Jesar", "Mahuva",
  E81="Palitana", "Palitana",
  E81="Gariyadhar", "Palitana",
  E81="Talaja", "Talaja",
  E81="Vallabhipur", "Vallabhipur",
  E81="Umrala", "Vallabhipur",
  E81="Shihor", "Shihor",
  E81="Ghogha", "Bhavnagar",
  E81="Bhavnagar", "Bhavnagar"
)</f>
        <v>Vallabhipur</v>
      </c>
      <c r="G81" s="4" t="s">
        <v>206</v>
      </c>
      <c r="H81" s="4">
        <v>187916</v>
      </c>
      <c r="I81" s="4">
        <v>1</v>
      </c>
      <c r="M81" s="7">
        <v>2654980.89</v>
      </c>
      <c r="N81" s="7">
        <v>2389748.2999999998</v>
      </c>
      <c r="O81" s="8">
        <v>-9.99</v>
      </c>
      <c r="P81" s="8" t="str">
        <f>IF(O81&lt;0,"Below",IF(O81&gt;0,"Above","Equals"))</f>
        <v>Below</v>
      </c>
      <c r="Q81" s="4" t="s">
        <v>248</v>
      </c>
      <c r="R81" s="5"/>
      <c r="S81" s="6"/>
      <c r="U81" s="12">
        <v>4</v>
      </c>
      <c r="V81" s="4">
        <v>915</v>
      </c>
      <c r="W81" s="14">
        <v>45835</v>
      </c>
      <c r="X81" s="4" t="s">
        <v>50</v>
      </c>
      <c r="Y81" s="13">
        <v>256</v>
      </c>
      <c r="Z81" s="26">
        <v>46014</v>
      </c>
      <c r="AA81" s="4" t="s">
        <v>299</v>
      </c>
      <c r="AB81" s="4" t="s">
        <v>312</v>
      </c>
      <c r="AC81" s="33">
        <v>44743788805</v>
      </c>
      <c r="AD81" s="9">
        <v>120000</v>
      </c>
      <c r="AE81" s="5">
        <v>46007</v>
      </c>
      <c r="AF81" s="11"/>
      <c r="AG81" s="11"/>
      <c r="AI81" s="9"/>
      <c r="AJ81" s="11"/>
      <c r="AK81" s="4">
        <v>1800</v>
      </c>
      <c r="AL81" s="26">
        <v>46014</v>
      </c>
    </row>
    <row r="82" spans="1:38" ht="43.5">
      <c r="A82" s="4" t="s">
        <v>50</v>
      </c>
      <c r="B82" s="4">
        <v>4</v>
      </c>
      <c r="C82" s="4">
        <v>42</v>
      </c>
      <c r="D82" s="6" t="s">
        <v>250</v>
      </c>
      <c r="E82" s="4" t="s">
        <v>1</v>
      </c>
      <c r="F82" s="4" t="str" cm="1">
        <f t="array" ref="F82">_xlfn.IFS(
  E82="Mahuva", "Mahuva",
  E82="Jesar", "Mahuva",
  E82="Palitana", "Palitana",
  E82="Gariyadhar", "Palitana",
  E82="Talaja", "Talaja",
  E82="Vallabhipur", "Vallabhipur",
  E82="Umrala", "Vallabhipur",
  E82="Shihor", "Shihor",
  E82="Ghogha", "Bhavnagar",
  E82="Bhavnagar", "Bhavnagar"
)</f>
        <v>Vallabhipur</v>
      </c>
      <c r="G82" s="4" t="s">
        <v>206</v>
      </c>
      <c r="H82" s="4">
        <v>187919</v>
      </c>
      <c r="I82" s="4">
        <v>1</v>
      </c>
      <c r="M82" s="7">
        <v>2654980.89</v>
      </c>
      <c r="N82" s="7">
        <v>2360012.5099999998</v>
      </c>
      <c r="O82" s="8">
        <v>-11.11</v>
      </c>
      <c r="P82" s="8" t="str">
        <f>IF(O82&lt;0,"Below",IF(O82&gt;0,"Above","Equals"))</f>
        <v>Below</v>
      </c>
      <c r="Q82" s="4" t="s">
        <v>248</v>
      </c>
      <c r="R82" s="5"/>
      <c r="S82" s="6"/>
      <c r="U82" s="12">
        <v>4</v>
      </c>
      <c r="V82" s="4">
        <v>916</v>
      </c>
      <c r="W82" s="14">
        <v>45835</v>
      </c>
      <c r="X82" s="4" t="s">
        <v>50</v>
      </c>
      <c r="Y82" s="13">
        <v>259</v>
      </c>
      <c r="Z82" s="26">
        <v>46029</v>
      </c>
      <c r="AA82" s="4" t="s">
        <v>299</v>
      </c>
      <c r="AB82" s="4" t="s">
        <v>312</v>
      </c>
      <c r="AC82" s="33">
        <v>44743487332</v>
      </c>
      <c r="AD82" s="9">
        <v>119000</v>
      </c>
      <c r="AE82" s="5">
        <v>46007</v>
      </c>
      <c r="AF82" s="4" t="s">
        <v>299</v>
      </c>
      <c r="AG82" s="4" t="s">
        <v>312</v>
      </c>
      <c r="AH82" s="33">
        <v>44767171331</v>
      </c>
      <c r="AI82" s="9">
        <v>6000</v>
      </c>
      <c r="AJ82" s="5">
        <v>46015</v>
      </c>
      <c r="AK82" s="4">
        <v>30</v>
      </c>
      <c r="AL82" s="26">
        <v>46029</v>
      </c>
    </row>
    <row r="83" spans="1:38" ht="87">
      <c r="A83" s="4" t="s">
        <v>50</v>
      </c>
      <c r="B83" s="4">
        <v>5</v>
      </c>
      <c r="C83" s="4">
        <v>1</v>
      </c>
      <c r="D83" s="6" t="s">
        <v>572</v>
      </c>
      <c r="E83" s="4"/>
      <c r="F83" s="4" t="e" cm="1">
        <f t="array" ref="F83">_xlfn.IFS(
  E83="Mahuva", "Mahuva",
  E83="Jesar", "Mahuva",
  E83="Palitana", "Palitana",
  E83="Gariyadhar", "Palitana",
  E83="Talaja", "Talaja",
  E83="Vallabhipur", "Vallabhipur",
  E83="Umrala", "Vallabhipur",
  E83="Shihor", "Shihor",
  E83="Ghogha", "Bhavnagar",
  E83="Bhavnagar", "Bhavnagar"
)</f>
        <v>#N/A</v>
      </c>
      <c r="G83" s="4" t="s">
        <v>562</v>
      </c>
      <c r="H83" s="4">
        <v>189005</v>
      </c>
      <c r="I83" s="4">
        <v>1</v>
      </c>
      <c r="O83" s="8"/>
      <c r="P83" s="8" t="str">
        <f>IF(O83&lt;0,"Below",IF(O83&gt;0,"Above","Equals"))</f>
        <v>Equals</v>
      </c>
      <c r="R83" s="5"/>
      <c r="S83" s="6"/>
      <c r="U83" s="12"/>
      <c r="V83" s="4"/>
      <c r="X83" s="4"/>
      <c r="Y83" s="13"/>
      <c r="Z83" s="13"/>
      <c r="AA83" s="4"/>
      <c r="AB83" s="4"/>
      <c r="AD83" s="9"/>
      <c r="AE83" s="5"/>
      <c r="AF83" s="11"/>
      <c r="AG83" s="11"/>
      <c r="AI83" s="9"/>
      <c r="AJ83" s="11"/>
      <c r="AK83" s="4"/>
    </row>
    <row r="84" spans="1:38" ht="58">
      <c r="A84" s="4" t="s">
        <v>50</v>
      </c>
      <c r="B84" s="4">
        <v>6</v>
      </c>
      <c r="C84" s="4">
        <v>1</v>
      </c>
      <c r="D84" s="6" t="s">
        <v>301</v>
      </c>
      <c r="E84" s="4"/>
      <c r="F84" s="4" t="e" cm="1">
        <f t="array" ref="F84">_xlfn.IFS(
  E84="Mahuva", "Mahuva",
  E84="Jesar", "Mahuva",
  E84="Palitana", "Palitana",
  E84="Gariyadhar", "Palitana",
  E84="Talaja", "Talaja",
  E84="Vallabhipur", "Vallabhipur",
  E84="Umrala", "Vallabhipur",
  E84="Shihor", "Shihor",
  E84="Ghogha", "Bhavnagar",
  E84="Bhavnagar", "Bhavnagar"
)</f>
        <v>#N/A</v>
      </c>
      <c r="G84" s="4" t="s">
        <v>562</v>
      </c>
      <c r="I84" s="4">
        <v>1</v>
      </c>
      <c r="O84" s="8"/>
      <c r="P84" s="8" t="str">
        <f>IF(O84&lt;0,"Below",IF(O84&gt;0,"Above","Equals"))</f>
        <v>Equals</v>
      </c>
      <c r="R84" s="5"/>
      <c r="S84" s="6"/>
      <c r="U84" s="12"/>
      <c r="V84" s="4"/>
      <c r="X84" s="4"/>
      <c r="Y84" s="13"/>
      <c r="Z84" s="13"/>
      <c r="AA84" s="4"/>
      <c r="AB84" s="4"/>
      <c r="AD84" s="9"/>
      <c r="AE84" s="5"/>
      <c r="AF84" s="11"/>
      <c r="AG84" s="11"/>
      <c r="AI84" s="9"/>
      <c r="AJ84" s="11"/>
      <c r="AK84" s="4"/>
      <c r="AL84" s="14">
        <v>45895</v>
      </c>
    </row>
    <row r="85" spans="1:38" ht="87">
      <c r="A85" s="4" t="s">
        <v>50</v>
      </c>
      <c r="B85" s="4">
        <v>7</v>
      </c>
      <c r="C85" s="4">
        <v>1</v>
      </c>
      <c r="D85" s="6" t="s">
        <v>572</v>
      </c>
      <c r="E85" s="4"/>
      <c r="F85" s="4" t="e" cm="1">
        <f t="array" ref="F85">_xlfn.IFS(
  E85="Mahuva", "Mahuva",
  E85="Jesar", "Mahuva",
  E85="Palitana", "Palitana",
  E85="Gariyadhar", "Palitana",
  E85="Talaja", "Talaja",
  E85="Vallabhipur", "Vallabhipur",
  E85="Umrala", "Vallabhipur",
  E85="Shihor", "Shihor",
  E85="Ghogha", "Bhavnagar",
  E85="Bhavnagar", "Bhavnagar"
)</f>
        <v>#N/A</v>
      </c>
      <c r="G85" s="4" t="s">
        <v>562</v>
      </c>
      <c r="H85" s="4">
        <v>199480</v>
      </c>
      <c r="I85" s="4">
        <v>2</v>
      </c>
      <c r="J85" s="5">
        <v>45836</v>
      </c>
      <c r="K85" s="5">
        <v>45845</v>
      </c>
      <c r="L85" s="5">
        <v>45846</v>
      </c>
      <c r="M85" s="7">
        <v>419152057.25</v>
      </c>
      <c r="O85" s="8"/>
      <c r="P85" s="8" t="str">
        <f>IF(O85&lt;0,"Below",IF(O85&gt;0,"Above","Equals"))</f>
        <v>Equals</v>
      </c>
      <c r="R85" s="5">
        <v>45875</v>
      </c>
      <c r="S85" s="6"/>
      <c r="T85" s="14" t="s">
        <v>935</v>
      </c>
      <c r="U85" s="12"/>
      <c r="V85" s="4"/>
      <c r="X85" s="4"/>
      <c r="Y85" s="13"/>
      <c r="Z85" s="13"/>
      <c r="AA85" s="4"/>
      <c r="AB85" s="4"/>
      <c r="AD85" s="9"/>
      <c r="AE85" s="5"/>
      <c r="AF85" s="11"/>
      <c r="AG85" s="11"/>
      <c r="AI85" s="9"/>
      <c r="AJ85" s="11"/>
      <c r="AK85" s="4"/>
    </row>
    <row r="86" spans="1:38" ht="43.5">
      <c r="A86" s="4" t="s">
        <v>50</v>
      </c>
      <c r="B86" s="4">
        <v>8</v>
      </c>
      <c r="C86" s="4">
        <v>1</v>
      </c>
      <c r="D86" s="6" t="s">
        <v>415</v>
      </c>
      <c r="E86" s="4" t="s">
        <v>228</v>
      </c>
      <c r="F86" s="4" t="str" cm="1">
        <f t="array" ref="F86">_xlfn.IFS(
  E86="Mahuva", "Mahuva",
  E86="Jesar", "Mahuva",
  E86="Palitana", "Palitana",
  E86="Gariyadhar", "Palitana",
  E86="Talaja", "Talaja",
  E86="Vallabhipur", "Vallabhipur",
  E86="Umrala", "Vallabhipur",
  E86="Shihor", "Shihor",
  E86="Ghogha", "Bhavnagar",
  E86="Bhavnagar", "Bhavnagar"
)</f>
        <v>Mahuva</v>
      </c>
      <c r="G86" s="4" t="s">
        <v>206</v>
      </c>
      <c r="H86" s="4">
        <v>199536</v>
      </c>
      <c r="I86" s="4">
        <v>2</v>
      </c>
      <c r="J86" s="5">
        <v>45837</v>
      </c>
      <c r="K86" s="5">
        <v>45848</v>
      </c>
      <c r="L86" s="5">
        <v>45849</v>
      </c>
      <c r="M86" s="7">
        <v>2079935.08</v>
      </c>
      <c r="N86" s="7">
        <v>2069327.41</v>
      </c>
      <c r="O86" s="8">
        <v>-0.51</v>
      </c>
      <c r="P86" s="8" t="str">
        <f>IF(O86&lt;0,"Below",IF(O86&gt;0,"Above","Equals"))</f>
        <v>Below</v>
      </c>
      <c r="Q86" s="4" t="s">
        <v>231</v>
      </c>
      <c r="R86" s="5"/>
      <c r="S86" s="6"/>
      <c r="U86" s="12">
        <v>4</v>
      </c>
      <c r="V86" s="4">
        <v>1110</v>
      </c>
      <c r="W86" s="14">
        <v>45877</v>
      </c>
      <c r="X86" s="4" t="s">
        <v>50</v>
      </c>
      <c r="Y86" s="13">
        <v>154</v>
      </c>
      <c r="Z86" s="14">
        <v>45911</v>
      </c>
      <c r="AA86" s="4" t="s">
        <v>299</v>
      </c>
      <c r="AB86" s="4" t="s">
        <v>312</v>
      </c>
      <c r="AC86" s="33">
        <v>44407033360</v>
      </c>
      <c r="AD86" s="9">
        <v>104000</v>
      </c>
      <c r="AE86" s="5">
        <v>45899</v>
      </c>
      <c r="AF86" s="11"/>
      <c r="AG86" s="11"/>
      <c r="AI86" s="9"/>
      <c r="AJ86" s="11"/>
      <c r="AK86" s="4">
        <v>1299</v>
      </c>
      <c r="AL86" s="14">
        <v>45911</v>
      </c>
    </row>
    <row r="87" spans="1:38" ht="43.5">
      <c r="A87" s="4" t="s">
        <v>50</v>
      </c>
      <c r="B87" s="4">
        <v>8</v>
      </c>
      <c r="C87" s="4">
        <v>2</v>
      </c>
      <c r="D87" s="6" t="s">
        <v>416</v>
      </c>
      <c r="E87" s="4" t="s">
        <v>228</v>
      </c>
      <c r="F87" s="4" t="str" cm="1">
        <f t="array" ref="F87">_xlfn.IFS(
  E87="Mahuva", "Mahuva",
  E87="Jesar", "Mahuva",
  E87="Palitana", "Palitana",
  E87="Gariyadhar", "Palitana",
  E87="Talaja", "Talaja",
  E87="Vallabhipur", "Vallabhipur",
  E87="Umrala", "Vallabhipur",
  E87="Shihor", "Shihor",
  E87="Ghogha", "Bhavnagar",
  E87="Bhavnagar", "Bhavnagar"
)</f>
        <v>Mahuva</v>
      </c>
      <c r="G87" s="4" t="s">
        <v>206</v>
      </c>
      <c r="H87" s="4">
        <v>199539</v>
      </c>
      <c r="I87" s="4">
        <v>2</v>
      </c>
      <c r="J87" s="5">
        <v>45837</v>
      </c>
      <c r="K87" s="5">
        <v>45848</v>
      </c>
      <c r="L87" s="5">
        <v>45849</v>
      </c>
      <c r="M87" s="7">
        <v>2079935.08</v>
      </c>
      <c r="N87" s="7">
        <v>2069327.41</v>
      </c>
      <c r="O87" s="8">
        <v>-0.51</v>
      </c>
      <c r="P87" s="8" t="str">
        <f>IF(O87&lt;0,"Below",IF(O87&gt;0,"Above","Equals"))</f>
        <v>Below</v>
      </c>
      <c r="Q87" s="4" t="s">
        <v>231</v>
      </c>
      <c r="R87" s="5"/>
      <c r="S87" s="6"/>
      <c r="U87" s="12">
        <v>4</v>
      </c>
      <c r="V87" s="4">
        <v>1118</v>
      </c>
      <c r="W87" s="14">
        <v>45877</v>
      </c>
      <c r="X87" s="4" t="s">
        <v>50</v>
      </c>
      <c r="Y87" s="13">
        <v>155</v>
      </c>
      <c r="Z87" s="14">
        <v>45911</v>
      </c>
      <c r="AA87" s="4" t="s">
        <v>299</v>
      </c>
      <c r="AB87" s="4" t="s">
        <v>312</v>
      </c>
      <c r="AC87" s="33">
        <v>44407033359</v>
      </c>
      <c r="AD87" s="9">
        <v>104000</v>
      </c>
      <c r="AE87" s="5">
        <v>45899</v>
      </c>
      <c r="AF87" s="11"/>
      <c r="AG87" s="11"/>
      <c r="AI87" s="9"/>
      <c r="AJ87" s="11"/>
      <c r="AK87" s="4">
        <v>1300</v>
      </c>
      <c r="AL87" s="14">
        <v>45911</v>
      </c>
    </row>
    <row r="88" spans="1:38" ht="43.5">
      <c r="A88" s="4" t="s">
        <v>50</v>
      </c>
      <c r="B88" s="4">
        <v>8</v>
      </c>
      <c r="C88" s="4">
        <v>3</v>
      </c>
      <c r="D88" s="6" t="s">
        <v>417</v>
      </c>
      <c r="E88" s="4" t="s">
        <v>228</v>
      </c>
      <c r="F88" s="4" t="str" cm="1">
        <f t="array" ref="F88">_xlfn.IFS(
  E88="Mahuva", "Mahuva",
  E88="Jesar", "Mahuva",
  E88="Palitana", "Palitana",
  E88="Gariyadhar", "Palitana",
  E88="Talaja", "Talaja",
  E88="Vallabhipur", "Vallabhipur",
  E88="Umrala", "Vallabhipur",
  E88="Shihor", "Shihor",
  E88="Ghogha", "Bhavnagar",
  E88="Bhavnagar", "Bhavnagar"
)</f>
        <v>Mahuva</v>
      </c>
      <c r="G88" s="4" t="s">
        <v>206</v>
      </c>
      <c r="H88" s="4">
        <v>199541</v>
      </c>
      <c r="I88" s="4">
        <v>2</v>
      </c>
      <c r="J88" s="5">
        <v>45837</v>
      </c>
      <c r="K88" s="5">
        <v>45848</v>
      </c>
      <c r="L88" s="5">
        <v>45849</v>
      </c>
      <c r="M88" s="7">
        <v>2079935.08</v>
      </c>
      <c r="N88" s="7">
        <v>2069327.41</v>
      </c>
      <c r="O88" s="8">
        <v>-0.51</v>
      </c>
      <c r="P88" s="8" t="str">
        <f>IF(O88&lt;0,"Below",IF(O88&gt;0,"Above","Equals"))</f>
        <v>Below</v>
      </c>
      <c r="Q88" s="4" t="s">
        <v>231</v>
      </c>
      <c r="R88" s="5"/>
      <c r="S88" s="6"/>
      <c r="U88" s="12">
        <v>4</v>
      </c>
      <c r="V88" s="4">
        <v>1119</v>
      </c>
      <c r="W88" s="14">
        <v>45877</v>
      </c>
      <c r="X88" s="4" t="s">
        <v>50</v>
      </c>
      <c r="Y88" s="13">
        <v>156</v>
      </c>
      <c r="Z88" s="14">
        <v>45911</v>
      </c>
      <c r="AA88" s="4" t="s">
        <v>299</v>
      </c>
      <c r="AB88" s="4" t="s">
        <v>312</v>
      </c>
      <c r="AC88" s="33">
        <v>44407033361</v>
      </c>
      <c r="AD88" s="9">
        <v>104000</v>
      </c>
      <c r="AE88" s="5">
        <v>45899</v>
      </c>
      <c r="AF88" s="11"/>
      <c r="AG88" s="11"/>
      <c r="AI88" s="9"/>
      <c r="AJ88" s="11"/>
      <c r="AK88" s="4">
        <v>1301</v>
      </c>
      <c r="AL88" s="14">
        <v>45911</v>
      </c>
    </row>
    <row r="89" spans="1:38" ht="43.5">
      <c r="A89" s="4" t="s">
        <v>50</v>
      </c>
      <c r="B89" s="4">
        <v>8</v>
      </c>
      <c r="C89" s="4">
        <v>4</v>
      </c>
      <c r="D89" s="6" t="s">
        <v>418</v>
      </c>
      <c r="E89" s="4" t="s">
        <v>228</v>
      </c>
      <c r="F89" s="4" t="str" cm="1">
        <f t="array" ref="F89">_xlfn.IFS(
  E89="Mahuva", "Mahuva",
  E89="Jesar", "Mahuva",
  E89="Palitana", "Palitana",
  E89="Gariyadhar", "Palitana",
  E89="Talaja", "Talaja",
  E89="Vallabhipur", "Vallabhipur",
  E89="Umrala", "Vallabhipur",
  E89="Shihor", "Shihor",
  E89="Ghogha", "Bhavnagar",
  E89="Bhavnagar", "Bhavnagar"
)</f>
        <v>Mahuva</v>
      </c>
      <c r="G89" s="4" t="s">
        <v>206</v>
      </c>
      <c r="H89" s="4">
        <v>199544</v>
      </c>
      <c r="I89" s="4">
        <v>2</v>
      </c>
      <c r="J89" s="5">
        <v>45837</v>
      </c>
      <c r="K89" s="5">
        <v>45848</v>
      </c>
      <c r="L89" s="5">
        <v>45849</v>
      </c>
      <c r="M89" s="7">
        <v>2079935.08</v>
      </c>
      <c r="N89" s="7">
        <v>1957426.9</v>
      </c>
      <c r="O89" s="8">
        <v>-5.89</v>
      </c>
      <c r="P89" s="8" t="str">
        <f>IF(O89&lt;0,"Below",IF(O89&gt;0,"Above","Equals"))</f>
        <v>Below</v>
      </c>
      <c r="Q89" s="4" t="s">
        <v>330</v>
      </c>
      <c r="R89" s="5"/>
      <c r="S89" s="6"/>
      <c r="U89" s="12">
        <v>4</v>
      </c>
      <c r="V89" s="4">
        <v>1120</v>
      </c>
      <c r="W89" s="14">
        <v>45877</v>
      </c>
      <c r="X89" s="4" t="s">
        <v>50</v>
      </c>
      <c r="Y89" s="13">
        <v>168</v>
      </c>
      <c r="Z89" s="26">
        <v>45931</v>
      </c>
      <c r="AA89" s="4" t="s">
        <v>299</v>
      </c>
      <c r="AB89" s="4" t="s">
        <v>300</v>
      </c>
      <c r="AC89" s="33">
        <v>78048996970</v>
      </c>
      <c r="AD89" s="9">
        <v>98000</v>
      </c>
      <c r="AE89" s="5">
        <v>45887</v>
      </c>
      <c r="AF89" s="11"/>
      <c r="AG89" s="11"/>
      <c r="AI89" s="9"/>
      <c r="AJ89" s="11"/>
      <c r="AK89" s="4">
        <v>1410</v>
      </c>
      <c r="AL89" s="26">
        <v>45931</v>
      </c>
    </row>
    <row r="90" spans="1:38" ht="43.5">
      <c r="A90" s="4" t="s">
        <v>50</v>
      </c>
      <c r="B90" s="4">
        <v>8</v>
      </c>
      <c r="C90" s="4">
        <v>5</v>
      </c>
      <c r="D90" s="6" t="s">
        <v>419</v>
      </c>
      <c r="E90" s="4" t="s">
        <v>228</v>
      </c>
      <c r="F90" s="4" t="str" cm="1">
        <f t="array" ref="F90">_xlfn.IFS(
  E90="Mahuva", "Mahuva",
  E90="Jesar", "Mahuva",
  E90="Palitana", "Palitana",
  E90="Gariyadhar", "Palitana",
  E90="Talaja", "Talaja",
  E90="Vallabhipur", "Vallabhipur",
  E90="Umrala", "Vallabhipur",
  E90="Shihor", "Shihor",
  E90="Ghogha", "Bhavnagar",
  E90="Bhavnagar", "Bhavnagar"
)</f>
        <v>Mahuva</v>
      </c>
      <c r="G90" s="4" t="s">
        <v>206</v>
      </c>
      <c r="H90" s="4">
        <v>199545</v>
      </c>
      <c r="I90" s="4">
        <v>2</v>
      </c>
      <c r="J90" s="5">
        <v>45837</v>
      </c>
      <c r="K90" s="5">
        <v>45848</v>
      </c>
      <c r="L90" s="5">
        <v>45849</v>
      </c>
      <c r="M90" s="7">
        <v>2079935.08</v>
      </c>
      <c r="N90" s="7">
        <v>1936627.55</v>
      </c>
      <c r="O90" s="8">
        <v>-6.89</v>
      </c>
      <c r="P90" s="8" t="str">
        <f>IF(O90&lt;0,"Below",IF(O90&gt;0,"Above","Equals"))</f>
        <v>Below</v>
      </c>
      <c r="Q90" s="4" t="s">
        <v>330</v>
      </c>
      <c r="R90" s="5"/>
      <c r="S90" s="6"/>
      <c r="U90" s="12">
        <v>4</v>
      </c>
      <c r="V90" s="4">
        <v>1124</v>
      </c>
      <c r="W90" s="14">
        <v>45877</v>
      </c>
      <c r="X90" s="4" t="s">
        <v>50</v>
      </c>
      <c r="Y90" s="13">
        <v>131</v>
      </c>
      <c r="Z90" s="26">
        <v>45901</v>
      </c>
      <c r="AA90" s="4" t="s">
        <v>299</v>
      </c>
      <c r="AB90" s="4" t="s">
        <v>300</v>
      </c>
      <c r="AC90" s="33">
        <v>78048996969</v>
      </c>
      <c r="AD90" s="9">
        <v>97000</v>
      </c>
      <c r="AE90" s="5">
        <v>45887</v>
      </c>
      <c r="AF90" s="11"/>
      <c r="AG90" s="11"/>
      <c r="AI90" s="9"/>
      <c r="AJ90" s="11"/>
      <c r="AK90" s="4">
        <v>1239</v>
      </c>
      <c r="AL90" s="14">
        <v>45901</v>
      </c>
    </row>
    <row r="91" spans="1:38" ht="43.5">
      <c r="A91" s="4" t="s">
        <v>50</v>
      </c>
      <c r="B91" s="4">
        <v>8</v>
      </c>
      <c r="C91" s="4">
        <v>6</v>
      </c>
      <c r="D91" s="6" t="s">
        <v>420</v>
      </c>
      <c r="E91" s="4" t="s">
        <v>2</v>
      </c>
      <c r="F91" s="4" t="str" cm="1">
        <f t="array" ref="F91">_xlfn.IFS(
  E91="Mahuva", "Mahuva",
  E91="Jesar", "Mahuva",
  E91="Palitana", "Palitana",
  E91="Gariyadhar", "Palitana",
  E91="Talaja", "Talaja",
  E91="Vallabhipur", "Vallabhipur",
  E91="Umrala", "Vallabhipur",
  E91="Shihor", "Shihor",
  E91="Ghogha", "Bhavnagar",
  E91="Bhavnagar", "Bhavnagar"
)</f>
        <v>Palitana</v>
      </c>
      <c r="G91" s="4" t="s">
        <v>206</v>
      </c>
      <c r="H91" s="4">
        <v>199546</v>
      </c>
      <c r="I91" s="4">
        <v>2</v>
      </c>
      <c r="J91" s="5">
        <v>45837</v>
      </c>
      <c r="K91" s="5">
        <v>45848</v>
      </c>
      <c r="L91" s="5">
        <v>45849</v>
      </c>
      <c r="M91" s="7">
        <v>2079935.08</v>
      </c>
      <c r="N91" s="7">
        <v>1954930.98</v>
      </c>
      <c r="O91" s="8">
        <v>-6.01</v>
      </c>
      <c r="P91" s="8" t="str">
        <f>IF(O91&lt;0,"Below",IF(O91&gt;0,"Above","Equals"))</f>
        <v>Below</v>
      </c>
      <c r="Q91" s="4" t="s">
        <v>47</v>
      </c>
      <c r="R91" s="5"/>
      <c r="S91" s="6"/>
      <c r="U91" s="12">
        <v>4</v>
      </c>
      <c r="V91" s="4">
        <v>1125</v>
      </c>
      <c r="W91" s="14">
        <v>45877</v>
      </c>
      <c r="X91" s="4" t="s">
        <v>1126</v>
      </c>
      <c r="Y91" s="13">
        <v>8</v>
      </c>
      <c r="Z91" s="26">
        <v>46113</v>
      </c>
      <c r="AA91" s="4" t="s">
        <v>299</v>
      </c>
      <c r="AB91" s="4" t="s">
        <v>647</v>
      </c>
      <c r="AC91" s="33" t="s">
        <v>1132</v>
      </c>
      <c r="AD91" s="9">
        <v>98000</v>
      </c>
      <c r="AE91" s="5">
        <v>46104</v>
      </c>
      <c r="AF91" s="11"/>
      <c r="AG91" s="11"/>
      <c r="AI91" s="9"/>
      <c r="AJ91" s="11"/>
      <c r="AK91" s="4">
        <v>462</v>
      </c>
      <c r="AL91" s="14">
        <v>46113</v>
      </c>
    </row>
    <row r="92" spans="1:38" ht="43.5">
      <c r="A92" s="4" t="s">
        <v>50</v>
      </c>
      <c r="B92" s="4">
        <v>8</v>
      </c>
      <c r="C92" s="4">
        <v>7</v>
      </c>
      <c r="D92" s="6" t="s">
        <v>421</v>
      </c>
      <c r="E92" s="4" t="s">
        <v>2</v>
      </c>
      <c r="F92" s="4" t="str" cm="1">
        <f t="array" ref="F92">_xlfn.IFS(
  E92="Mahuva", "Mahuva",
  E92="Jesar", "Mahuva",
  E92="Palitana", "Palitana",
  E92="Gariyadhar", "Palitana",
  E92="Talaja", "Talaja",
  E92="Vallabhipur", "Vallabhipur",
  E92="Umrala", "Vallabhipur",
  E92="Shihor", "Shihor",
  E92="Ghogha", "Bhavnagar",
  E92="Bhavnagar", "Bhavnagar"
)</f>
        <v>Palitana</v>
      </c>
      <c r="G92" s="4" t="s">
        <v>206</v>
      </c>
      <c r="H92" s="4">
        <v>199547</v>
      </c>
      <c r="I92" s="4">
        <v>2</v>
      </c>
      <c r="J92" s="5">
        <v>45837</v>
      </c>
      <c r="K92" s="5">
        <v>45848</v>
      </c>
      <c r="L92" s="5">
        <v>45849</v>
      </c>
      <c r="M92" s="7">
        <v>2079935.08</v>
      </c>
      <c r="N92" s="7">
        <v>1944531.31</v>
      </c>
      <c r="O92" s="8">
        <v>-6.51</v>
      </c>
      <c r="P92" s="8" t="str">
        <f>IF(O92&lt;0,"Below",IF(O92&gt;0,"Above","Equals"))</f>
        <v>Below</v>
      </c>
      <c r="Q92" s="4" t="s">
        <v>229</v>
      </c>
      <c r="R92" s="5"/>
      <c r="S92" s="6"/>
      <c r="U92" s="12">
        <v>4</v>
      </c>
      <c r="V92" s="4">
        <v>1126</v>
      </c>
      <c r="W92" s="14">
        <v>45877</v>
      </c>
      <c r="X92" s="4" t="s">
        <v>50</v>
      </c>
      <c r="Y92" s="13">
        <v>98</v>
      </c>
      <c r="Z92" s="26">
        <v>45887</v>
      </c>
      <c r="AA92" s="4" t="s">
        <v>299</v>
      </c>
      <c r="AB92" s="4" t="s">
        <v>300</v>
      </c>
      <c r="AC92" s="33">
        <v>78048990934</v>
      </c>
      <c r="AD92" s="9">
        <v>98000</v>
      </c>
      <c r="AE92" s="5">
        <v>45887</v>
      </c>
      <c r="AF92" s="11"/>
      <c r="AG92" s="11"/>
      <c r="AI92" s="9"/>
      <c r="AJ92" s="11"/>
      <c r="AK92" s="4">
        <v>1178</v>
      </c>
      <c r="AL92" s="14">
        <v>45887</v>
      </c>
    </row>
    <row r="93" spans="1:38" ht="43.5">
      <c r="A93" s="4" t="s">
        <v>50</v>
      </c>
      <c r="B93" s="4">
        <v>8</v>
      </c>
      <c r="C93" s="4">
        <v>8</v>
      </c>
      <c r="D93" s="6" t="s">
        <v>422</v>
      </c>
      <c r="E93" s="4" t="s">
        <v>2</v>
      </c>
      <c r="F93" s="4" t="str" cm="1">
        <f t="array" ref="F93">_xlfn.IFS(
  E93="Mahuva", "Mahuva",
  E93="Jesar", "Mahuva",
  E93="Palitana", "Palitana",
  E93="Gariyadhar", "Palitana",
  E93="Talaja", "Talaja",
  E93="Vallabhipur", "Vallabhipur",
  E93="Umrala", "Vallabhipur",
  E93="Shihor", "Shihor",
  E93="Ghogha", "Bhavnagar",
  E93="Bhavnagar", "Bhavnagar"
)</f>
        <v>Palitana</v>
      </c>
      <c r="G93" s="4" t="s">
        <v>206</v>
      </c>
      <c r="H93" s="4">
        <v>199552</v>
      </c>
      <c r="I93" s="4">
        <v>2</v>
      </c>
      <c r="J93" s="5">
        <v>45837</v>
      </c>
      <c r="K93" s="5">
        <v>45848</v>
      </c>
      <c r="L93" s="5">
        <v>45849</v>
      </c>
      <c r="M93" s="7">
        <v>2079935.08</v>
      </c>
      <c r="N93" s="7">
        <v>1927475.84</v>
      </c>
      <c r="O93" s="8">
        <v>-7.33</v>
      </c>
      <c r="P93" s="8" t="str">
        <f>IF(O93&lt;0,"Below",IF(O93&gt;0,"Above","Equals"))</f>
        <v>Below</v>
      </c>
      <c r="Q93" s="4" t="s">
        <v>132</v>
      </c>
      <c r="R93" s="5"/>
      <c r="S93" s="6"/>
      <c r="U93" s="12">
        <v>4</v>
      </c>
      <c r="V93" s="4">
        <v>1127</v>
      </c>
      <c r="W93" s="14">
        <v>45877</v>
      </c>
      <c r="X93" s="4" t="s">
        <v>50</v>
      </c>
      <c r="Y93" s="13">
        <v>161</v>
      </c>
      <c r="Z93" s="26">
        <v>45931</v>
      </c>
      <c r="AA93" s="4" t="s">
        <v>299</v>
      </c>
      <c r="AB93" s="4" t="s">
        <v>300</v>
      </c>
      <c r="AC93" s="33">
        <v>78049078234</v>
      </c>
      <c r="AD93" s="9">
        <v>97000</v>
      </c>
      <c r="AE93" s="5">
        <v>45894</v>
      </c>
      <c r="AF93" s="11"/>
      <c r="AG93" s="11"/>
      <c r="AI93" s="9"/>
      <c r="AJ93" s="11"/>
      <c r="AK93" s="4">
        <v>1402</v>
      </c>
      <c r="AL93" s="14">
        <v>45931</v>
      </c>
    </row>
    <row r="94" spans="1:38" ht="43.5">
      <c r="A94" s="4" t="s">
        <v>50</v>
      </c>
      <c r="B94" s="4">
        <v>8</v>
      </c>
      <c r="C94" s="4">
        <v>9</v>
      </c>
      <c r="D94" s="6" t="s">
        <v>423</v>
      </c>
      <c r="E94" s="4" t="s">
        <v>2</v>
      </c>
      <c r="F94" s="4" t="str" cm="1">
        <f t="array" ref="F94">_xlfn.IFS(
  E94="Mahuva", "Mahuva",
  E94="Jesar", "Mahuva",
  E94="Palitana", "Palitana",
  E94="Gariyadhar", "Palitana",
  E94="Talaja", "Talaja",
  E94="Vallabhipur", "Vallabhipur",
  E94="Umrala", "Vallabhipur",
  E94="Shihor", "Shihor",
  E94="Ghogha", "Bhavnagar",
  E94="Bhavnagar", "Bhavnagar"
)</f>
        <v>Palitana</v>
      </c>
      <c r="G94" s="4" t="s">
        <v>206</v>
      </c>
      <c r="H94" s="4">
        <v>199554</v>
      </c>
      <c r="I94" s="4">
        <v>2</v>
      </c>
      <c r="J94" s="5">
        <v>45837</v>
      </c>
      <c r="K94" s="5">
        <v>45848</v>
      </c>
      <c r="L94" s="5">
        <v>45849</v>
      </c>
      <c r="M94" s="7">
        <v>2079935.08</v>
      </c>
      <c r="N94" s="7">
        <v>2012337.19</v>
      </c>
      <c r="O94" s="8">
        <v>-3.25</v>
      </c>
      <c r="P94" s="8" t="str">
        <f>IF(O94&lt;0,"Below",IF(O94&gt;0,"Above","Equals"))</f>
        <v>Below</v>
      </c>
      <c r="Q94" s="4" t="s">
        <v>47</v>
      </c>
      <c r="R94" s="5"/>
      <c r="S94" s="6"/>
      <c r="U94" s="12">
        <v>4</v>
      </c>
      <c r="V94" s="4">
        <v>1128</v>
      </c>
      <c r="W94" s="14">
        <v>45877</v>
      </c>
      <c r="X94" s="4" t="s">
        <v>50</v>
      </c>
      <c r="Y94" s="13">
        <v>192</v>
      </c>
      <c r="Z94" s="26">
        <v>45943</v>
      </c>
      <c r="AA94" s="4" t="s">
        <v>302</v>
      </c>
      <c r="AB94" s="4" t="s">
        <v>647</v>
      </c>
      <c r="AC94" s="33" t="s">
        <v>732</v>
      </c>
      <c r="AD94" s="9">
        <v>101000</v>
      </c>
      <c r="AE94" s="5">
        <v>45937</v>
      </c>
      <c r="AF94" s="11"/>
      <c r="AG94" s="11"/>
      <c r="AI94" s="9"/>
      <c r="AJ94" s="11"/>
      <c r="AK94" s="4">
        <v>1476</v>
      </c>
      <c r="AL94" s="14">
        <v>45943</v>
      </c>
    </row>
    <row r="95" spans="1:38" ht="43.5">
      <c r="A95" s="4" t="s">
        <v>50</v>
      </c>
      <c r="B95" s="4">
        <v>8</v>
      </c>
      <c r="C95" s="4">
        <v>10</v>
      </c>
      <c r="D95" s="6" t="s">
        <v>424</v>
      </c>
      <c r="E95" s="4" t="s">
        <v>2</v>
      </c>
      <c r="F95" s="4" t="str" cm="1">
        <f t="array" ref="F95">_xlfn.IFS(
  E95="Mahuva", "Mahuva",
  E95="Jesar", "Mahuva",
  E95="Palitana", "Palitana",
  E95="Gariyadhar", "Palitana",
  E95="Talaja", "Talaja",
  E95="Vallabhipur", "Vallabhipur",
  E95="Umrala", "Vallabhipur",
  E95="Shihor", "Shihor",
  E95="Ghogha", "Bhavnagar",
  E95="Bhavnagar", "Bhavnagar"
)</f>
        <v>Palitana</v>
      </c>
      <c r="G95" s="4" t="s">
        <v>206</v>
      </c>
      <c r="H95" s="4">
        <v>199557</v>
      </c>
      <c r="I95" s="4">
        <v>2</v>
      </c>
      <c r="J95" s="5">
        <v>45837</v>
      </c>
      <c r="K95" s="5">
        <v>45848</v>
      </c>
      <c r="L95" s="5">
        <v>45849</v>
      </c>
      <c r="M95" s="7">
        <v>2079935.08</v>
      </c>
      <c r="N95" s="7">
        <v>1944531.31</v>
      </c>
      <c r="O95" s="8">
        <v>-6.51</v>
      </c>
      <c r="P95" s="8" t="str">
        <f>IF(O95&lt;0,"Below",IF(O95&gt;0,"Above","Equals"))</f>
        <v>Below</v>
      </c>
      <c r="Q95" s="4" t="s">
        <v>331</v>
      </c>
      <c r="R95" s="5"/>
      <c r="S95" s="6"/>
      <c r="U95" s="12">
        <v>4</v>
      </c>
      <c r="V95" s="4">
        <v>1129</v>
      </c>
      <c r="W95" s="14">
        <v>45877</v>
      </c>
      <c r="X95" s="4" t="s">
        <v>50</v>
      </c>
      <c r="Y95" s="13">
        <v>141</v>
      </c>
      <c r="Z95" s="26">
        <v>45902</v>
      </c>
      <c r="AA95" s="4" t="s">
        <v>299</v>
      </c>
      <c r="AB95" s="4" t="s">
        <v>300</v>
      </c>
      <c r="AC95" s="33">
        <v>78049041419</v>
      </c>
      <c r="AD95" s="9">
        <v>98000</v>
      </c>
      <c r="AE95" s="5">
        <v>45890</v>
      </c>
      <c r="AF95" s="11"/>
      <c r="AG95" s="11"/>
      <c r="AI95" s="9"/>
      <c r="AJ95" s="11"/>
      <c r="AK95" s="4">
        <v>1252</v>
      </c>
      <c r="AL95" s="14">
        <v>45902</v>
      </c>
    </row>
    <row r="96" spans="1:38" ht="43.5">
      <c r="A96" s="4" t="s">
        <v>50</v>
      </c>
      <c r="B96" s="4">
        <v>8</v>
      </c>
      <c r="C96" s="4">
        <v>11</v>
      </c>
      <c r="D96" s="6" t="s">
        <v>425</v>
      </c>
      <c r="E96" s="4" t="s">
        <v>10</v>
      </c>
      <c r="F96" s="4" t="str" cm="1">
        <f t="array" ref="F96">_xlfn.IFS(
  E96="Mahuva", "Mahuva",
  E96="Jesar", "Mahuva",
  E96="Palitana", "Palitana",
  E96="Gariyadhar", "Palitana",
  E96="Talaja", "Talaja",
  E96="Vallabhipur", "Vallabhipur",
  E96="Umrala", "Vallabhipur",
  E96="Shihor", "Shihor",
  E96="Ghogha", "Bhavnagar",
  E96="Bhavnagar", "Bhavnagar"
)</f>
        <v>Mahuva</v>
      </c>
      <c r="G96" s="4" t="s">
        <v>206</v>
      </c>
      <c r="H96" s="4">
        <v>199560</v>
      </c>
      <c r="I96" s="4">
        <v>2</v>
      </c>
      <c r="J96" s="5">
        <v>45837</v>
      </c>
      <c r="K96" s="5">
        <v>45848</v>
      </c>
      <c r="L96" s="5">
        <v>45849</v>
      </c>
      <c r="M96" s="7">
        <v>2079935.08</v>
      </c>
      <c r="N96" s="7">
        <v>1989873.89</v>
      </c>
      <c r="O96" s="8">
        <v>-4.33</v>
      </c>
      <c r="P96" s="8" t="str">
        <f>IF(O96&lt;0,"Below",IF(O96&gt;0,"Above","Equals"))</f>
        <v>Below</v>
      </c>
      <c r="Q96" s="4" t="s">
        <v>332</v>
      </c>
      <c r="R96" s="5"/>
      <c r="S96" s="6"/>
      <c r="U96" s="12">
        <v>4</v>
      </c>
      <c r="V96" s="4">
        <v>1130</v>
      </c>
      <c r="W96" s="14">
        <v>45877</v>
      </c>
      <c r="X96" s="4" t="s">
        <v>50</v>
      </c>
      <c r="Y96" s="13">
        <v>290</v>
      </c>
      <c r="Z96" s="26">
        <v>46052</v>
      </c>
      <c r="AA96" s="4" t="s">
        <v>299</v>
      </c>
      <c r="AB96" s="4" t="s">
        <v>312</v>
      </c>
      <c r="AC96" s="33">
        <v>44788167932</v>
      </c>
      <c r="AD96" s="9">
        <v>100000</v>
      </c>
      <c r="AE96" s="5">
        <v>46023</v>
      </c>
      <c r="AF96" s="11"/>
      <c r="AG96" s="11"/>
      <c r="AI96" s="9"/>
      <c r="AJ96" s="11"/>
      <c r="AK96" s="4">
        <v>101</v>
      </c>
      <c r="AL96" s="14">
        <v>46052</v>
      </c>
    </row>
    <row r="97" spans="1:38" ht="43.5">
      <c r="A97" s="4" t="s">
        <v>50</v>
      </c>
      <c r="B97" s="4">
        <v>8</v>
      </c>
      <c r="C97" s="4">
        <v>13</v>
      </c>
      <c r="D97" s="6" t="s">
        <v>426</v>
      </c>
      <c r="E97" s="4" t="s">
        <v>10</v>
      </c>
      <c r="F97" s="4" t="str" cm="1">
        <f t="array" ref="F97">_xlfn.IFS(
  E97="Mahuva", "Mahuva",
  E97="Jesar", "Mahuva",
  E97="Palitana", "Palitana",
  E97="Gariyadhar", "Palitana",
  E97="Talaja", "Talaja",
  E97="Vallabhipur", "Vallabhipur",
  E97="Umrala", "Vallabhipur",
  E97="Shihor", "Shihor",
  E97="Ghogha", "Bhavnagar",
  E97="Bhavnagar", "Bhavnagar"
)</f>
        <v>Mahuva</v>
      </c>
      <c r="G97" s="4" t="s">
        <v>206</v>
      </c>
      <c r="H97" s="4">
        <v>199563</v>
      </c>
      <c r="I97" s="4">
        <v>2</v>
      </c>
      <c r="J97" s="5">
        <v>45837</v>
      </c>
      <c r="K97" s="5">
        <v>45848</v>
      </c>
      <c r="L97" s="5">
        <v>45849</v>
      </c>
      <c r="M97" s="7">
        <v>2079935.08</v>
      </c>
      <c r="N97" s="7">
        <v>1817863.26</v>
      </c>
      <c r="O97" s="8">
        <v>-12.6</v>
      </c>
      <c r="P97" s="8" t="str">
        <f>IF(O97&lt;0,"Below",IF(O97&gt;0,"Above","Equals"))</f>
        <v>Below</v>
      </c>
      <c r="Q97" s="4" t="s">
        <v>333</v>
      </c>
      <c r="R97" s="5"/>
      <c r="S97" s="6"/>
      <c r="U97" s="12">
        <v>4</v>
      </c>
      <c r="V97" s="4">
        <v>1132</v>
      </c>
      <c r="W97" s="14">
        <v>45877</v>
      </c>
      <c r="X97" s="4" t="s">
        <v>50</v>
      </c>
      <c r="Y97" s="13">
        <v>143</v>
      </c>
      <c r="Z97" s="26">
        <v>45910</v>
      </c>
      <c r="AA97" s="4" t="s">
        <v>299</v>
      </c>
      <c r="AB97" s="4" t="s">
        <v>300</v>
      </c>
      <c r="AC97" s="33">
        <v>78049184786</v>
      </c>
      <c r="AD97" s="9">
        <v>91000</v>
      </c>
      <c r="AE97" s="5">
        <v>45903</v>
      </c>
      <c r="AF97" s="4" t="s">
        <v>299</v>
      </c>
      <c r="AG97" s="4" t="s">
        <v>300</v>
      </c>
      <c r="AH97" s="33">
        <v>78049184797</v>
      </c>
      <c r="AI97" s="9">
        <v>11000</v>
      </c>
      <c r="AJ97" s="5">
        <v>45903</v>
      </c>
      <c r="AK97" s="4">
        <v>1286</v>
      </c>
      <c r="AL97" s="14">
        <v>45910</v>
      </c>
    </row>
    <row r="98" spans="1:38" ht="43.5">
      <c r="A98" s="4" t="s">
        <v>50</v>
      </c>
      <c r="B98" s="4">
        <v>8</v>
      </c>
      <c r="C98" s="4">
        <v>14</v>
      </c>
      <c r="D98" s="6" t="s">
        <v>427</v>
      </c>
      <c r="E98" s="4" t="s">
        <v>10</v>
      </c>
      <c r="F98" s="4" t="str" cm="1">
        <f t="array" ref="F98">_xlfn.IFS(
  E98="Mahuva", "Mahuva",
  E98="Jesar", "Mahuva",
  E98="Palitana", "Palitana",
  E98="Gariyadhar", "Palitana",
  E98="Talaja", "Talaja",
  E98="Vallabhipur", "Vallabhipur",
  E98="Umrala", "Vallabhipur",
  E98="Shihor", "Shihor",
  E98="Ghogha", "Bhavnagar",
  E98="Bhavnagar", "Bhavnagar"
)</f>
        <v>Mahuva</v>
      </c>
      <c r="G98" s="4" t="s">
        <v>206</v>
      </c>
      <c r="H98" s="4">
        <v>199565</v>
      </c>
      <c r="I98" s="4">
        <v>2</v>
      </c>
      <c r="J98" s="5">
        <v>45837</v>
      </c>
      <c r="K98" s="5">
        <v>45848</v>
      </c>
      <c r="L98" s="5">
        <v>45849</v>
      </c>
      <c r="M98" s="7">
        <v>2079935.08</v>
      </c>
      <c r="N98" s="7">
        <v>1916036.2</v>
      </c>
      <c r="O98" s="8">
        <v>-7.88</v>
      </c>
      <c r="P98" s="8" t="str">
        <f>IF(O98&lt;0,"Below",IF(O98&gt;0,"Above","Equals"))</f>
        <v>Below</v>
      </c>
      <c r="Q98" s="4" t="s">
        <v>633</v>
      </c>
      <c r="R98" s="5"/>
      <c r="S98" s="6"/>
      <c r="U98" s="12">
        <v>4</v>
      </c>
      <c r="V98" s="4">
        <v>1121</v>
      </c>
      <c r="W98" s="14">
        <v>45877</v>
      </c>
      <c r="X98" s="4" t="s">
        <v>50</v>
      </c>
      <c r="Y98" s="13">
        <v>139</v>
      </c>
      <c r="Z98" s="26">
        <v>45902</v>
      </c>
      <c r="AA98" s="4" t="s">
        <v>299</v>
      </c>
      <c r="AB98" s="4" t="s">
        <v>632</v>
      </c>
      <c r="AC98" s="33">
        <v>5856182489</v>
      </c>
      <c r="AD98" s="9">
        <v>96000</v>
      </c>
      <c r="AE98" s="5">
        <v>45887</v>
      </c>
      <c r="AF98" s="11"/>
      <c r="AG98" s="11"/>
      <c r="AI98" s="9"/>
      <c r="AJ98" s="11"/>
      <c r="AK98" s="4">
        <v>1250</v>
      </c>
      <c r="AL98" s="14">
        <v>45902</v>
      </c>
    </row>
    <row r="99" spans="1:38" ht="43.5">
      <c r="A99" s="4" t="s">
        <v>50</v>
      </c>
      <c r="B99" s="4">
        <v>8</v>
      </c>
      <c r="C99" s="4">
        <v>16</v>
      </c>
      <c r="D99" s="6" t="s">
        <v>428</v>
      </c>
      <c r="E99" s="4" t="s">
        <v>10</v>
      </c>
      <c r="F99" s="4" t="str" cm="1">
        <f t="array" ref="F99">_xlfn.IFS(
  E99="Mahuva", "Mahuva",
  E99="Jesar", "Mahuva",
  E99="Palitana", "Palitana",
  E99="Gariyadhar", "Palitana",
  E99="Talaja", "Talaja",
  E99="Vallabhipur", "Vallabhipur",
  E99="Umrala", "Vallabhipur",
  E99="Shihor", "Shihor",
  E99="Ghogha", "Bhavnagar",
  E99="Bhavnagar", "Bhavnagar"
)</f>
        <v>Mahuva</v>
      </c>
      <c r="G99" s="4" t="s">
        <v>206</v>
      </c>
      <c r="H99" s="4">
        <v>199570</v>
      </c>
      <c r="I99" s="4">
        <v>2</v>
      </c>
      <c r="J99" s="5">
        <v>45837</v>
      </c>
      <c r="K99" s="5">
        <v>45848</v>
      </c>
      <c r="L99" s="5">
        <v>45849</v>
      </c>
      <c r="M99" s="7">
        <v>2079935.08</v>
      </c>
      <c r="N99" s="7">
        <v>1896900.79</v>
      </c>
      <c r="O99" s="8">
        <v>-8.8000000000000007</v>
      </c>
      <c r="P99" s="8" t="str">
        <f>IF(O99&lt;0,"Below",IF(O99&gt;0,"Above","Equals"))</f>
        <v>Below</v>
      </c>
      <c r="Q99" s="4" t="s">
        <v>334</v>
      </c>
      <c r="R99" s="5"/>
      <c r="S99" s="6"/>
      <c r="U99" s="12">
        <v>4</v>
      </c>
      <c r="V99" s="4">
        <v>1122</v>
      </c>
      <c r="W99" s="14">
        <v>45877</v>
      </c>
      <c r="X99" s="4" t="s">
        <v>50</v>
      </c>
      <c r="Y99" s="13">
        <v>122</v>
      </c>
      <c r="Z99" s="26">
        <v>45899</v>
      </c>
      <c r="AA99" s="4" t="s">
        <v>299</v>
      </c>
      <c r="AB99" s="4" t="s">
        <v>537</v>
      </c>
      <c r="AC99" s="33" t="s">
        <v>626</v>
      </c>
      <c r="AD99" s="9">
        <v>95000</v>
      </c>
      <c r="AE99" s="5">
        <v>45889</v>
      </c>
      <c r="AF99" s="11"/>
      <c r="AG99" s="11"/>
      <c r="AI99" s="9"/>
      <c r="AJ99" s="11"/>
      <c r="AK99" s="4">
        <v>1227</v>
      </c>
      <c r="AL99" s="14">
        <v>45899</v>
      </c>
    </row>
    <row r="100" spans="1:38" ht="43.5">
      <c r="A100" s="4" t="s">
        <v>50</v>
      </c>
      <c r="B100" s="4">
        <v>8</v>
      </c>
      <c r="C100" s="4">
        <v>17</v>
      </c>
      <c r="D100" s="6" t="s">
        <v>429</v>
      </c>
      <c r="E100" s="4" t="s">
        <v>10</v>
      </c>
      <c r="F100" s="4" t="str" cm="1">
        <f t="array" ref="F100">_xlfn.IFS(
  E100="Mahuva", "Mahuva",
  E100="Jesar", "Mahuva",
  E100="Palitana", "Palitana",
  E100="Gariyadhar", "Palitana",
  E100="Talaja", "Talaja",
  E100="Vallabhipur", "Vallabhipur",
  E100="Umrala", "Vallabhipur",
  E100="Shihor", "Shihor",
  E100="Ghogha", "Bhavnagar",
  E100="Bhavnagar", "Bhavnagar"
)</f>
        <v>Mahuva</v>
      </c>
      <c r="G100" s="4" t="s">
        <v>206</v>
      </c>
      <c r="H100" s="4">
        <v>199573</v>
      </c>
      <c r="I100" s="4">
        <v>2</v>
      </c>
      <c r="J100" s="5">
        <v>45837</v>
      </c>
      <c r="K100" s="5">
        <v>45848</v>
      </c>
      <c r="L100" s="5">
        <v>45849</v>
      </c>
      <c r="M100" s="7">
        <v>2079935.08</v>
      </c>
      <c r="N100" s="7">
        <v>2077855.14</v>
      </c>
      <c r="O100" s="8">
        <v>-0.1</v>
      </c>
      <c r="P100" s="8" t="str">
        <f>IF(O100&lt;0,"Below",IF(O100&gt;0,"Above","Equals"))</f>
        <v>Below</v>
      </c>
      <c r="Q100" s="4" t="s">
        <v>335</v>
      </c>
      <c r="R100" s="5"/>
      <c r="S100" s="6"/>
      <c r="U100" s="12">
        <v>4</v>
      </c>
      <c r="V100" s="4">
        <v>1133</v>
      </c>
      <c r="W100" s="14">
        <v>45877</v>
      </c>
      <c r="X100" s="4" t="s">
        <v>50</v>
      </c>
      <c r="Y100" s="13">
        <v>120</v>
      </c>
      <c r="Z100" s="26">
        <v>45899</v>
      </c>
      <c r="AA100" s="4" t="s">
        <v>299</v>
      </c>
      <c r="AB100" s="4" t="s">
        <v>390</v>
      </c>
      <c r="AC100" s="33" t="s">
        <v>624</v>
      </c>
      <c r="AD100" s="9">
        <v>104000</v>
      </c>
      <c r="AE100" s="5">
        <v>45892</v>
      </c>
      <c r="AF100" s="11"/>
      <c r="AG100" s="11"/>
      <c r="AI100" s="9"/>
      <c r="AJ100" s="11"/>
      <c r="AK100" s="4">
        <v>1225</v>
      </c>
      <c r="AL100" s="14">
        <v>45899</v>
      </c>
    </row>
    <row r="101" spans="1:38" ht="43.5">
      <c r="A101" s="4" t="s">
        <v>50</v>
      </c>
      <c r="B101" s="4">
        <v>8</v>
      </c>
      <c r="C101" s="4">
        <v>18</v>
      </c>
      <c r="D101" s="6" t="s">
        <v>430</v>
      </c>
      <c r="E101" s="4" t="s">
        <v>228</v>
      </c>
      <c r="F101" s="4" t="str" cm="1">
        <f t="array" ref="F101">_xlfn.IFS(
  E101="Mahuva", "Mahuva",
  E101="Jesar", "Mahuva",
  E101="Palitana", "Palitana",
  E101="Gariyadhar", "Palitana",
  E101="Talaja", "Talaja",
  E101="Vallabhipur", "Vallabhipur",
  E101="Umrala", "Vallabhipur",
  E101="Shihor", "Shihor",
  E101="Ghogha", "Bhavnagar",
  E101="Bhavnagar", "Bhavnagar"
)</f>
        <v>Mahuva</v>
      </c>
      <c r="G101" s="4" t="s">
        <v>206</v>
      </c>
      <c r="H101" s="4">
        <v>199575</v>
      </c>
      <c r="I101" s="4">
        <v>2</v>
      </c>
      <c r="J101" s="5">
        <v>45837</v>
      </c>
      <c r="K101" s="5">
        <v>45848</v>
      </c>
      <c r="L101" s="5">
        <v>45849</v>
      </c>
      <c r="M101" s="7">
        <v>2027056.59</v>
      </c>
      <c r="N101" s="7">
        <v>2016718.6</v>
      </c>
      <c r="O101" s="8">
        <v>-0.51</v>
      </c>
      <c r="P101" s="8" t="str">
        <f>IF(O101&lt;0,"Below",IF(O101&gt;0,"Above","Equals"))</f>
        <v>Below</v>
      </c>
      <c r="Q101" s="4" t="s">
        <v>231</v>
      </c>
      <c r="R101" s="5"/>
      <c r="S101" s="6"/>
      <c r="U101" s="12">
        <v>4</v>
      </c>
      <c r="V101" s="4">
        <v>1134</v>
      </c>
      <c r="W101" s="14">
        <v>45877</v>
      </c>
      <c r="X101" s="4" t="s">
        <v>50</v>
      </c>
      <c r="Y101" s="13">
        <v>157</v>
      </c>
      <c r="Z101" s="14">
        <v>45911</v>
      </c>
      <c r="AA101" s="4" t="s">
        <v>299</v>
      </c>
      <c r="AB101" s="4" t="s">
        <v>312</v>
      </c>
      <c r="AC101" s="33">
        <v>44407033356</v>
      </c>
      <c r="AD101" s="9">
        <v>101000</v>
      </c>
      <c r="AE101" s="5">
        <v>45899</v>
      </c>
      <c r="AF101" s="11"/>
      <c r="AG101" s="11"/>
      <c r="AI101" s="9"/>
      <c r="AJ101" s="11"/>
      <c r="AK101" s="4">
        <v>1302</v>
      </c>
      <c r="AL101" s="14">
        <v>45911</v>
      </c>
    </row>
    <row r="102" spans="1:38" ht="43.5">
      <c r="A102" s="4" t="s">
        <v>50</v>
      </c>
      <c r="B102" s="4">
        <v>8</v>
      </c>
      <c r="C102" s="4">
        <v>19</v>
      </c>
      <c r="D102" s="6" t="s">
        <v>431</v>
      </c>
      <c r="E102" s="4" t="s">
        <v>10</v>
      </c>
      <c r="F102" s="4" t="str" cm="1">
        <f t="array" ref="F102">_xlfn.IFS(
  E102="Mahuva", "Mahuva",
  E102="Jesar", "Mahuva",
  E102="Palitana", "Palitana",
  E102="Gariyadhar", "Palitana",
  E102="Talaja", "Talaja",
  E102="Vallabhipur", "Vallabhipur",
  E102="Umrala", "Vallabhipur",
  E102="Shihor", "Shihor",
  E102="Ghogha", "Bhavnagar",
  E102="Bhavnagar", "Bhavnagar"
)</f>
        <v>Mahuva</v>
      </c>
      <c r="G102" s="4" t="s">
        <v>206</v>
      </c>
      <c r="H102" s="4">
        <v>199577</v>
      </c>
      <c r="I102" s="4">
        <v>2</v>
      </c>
      <c r="J102" s="5">
        <v>45837</v>
      </c>
      <c r="K102" s="5">
        <v>45848</v>
      </c>
      <c r="L102" s="5">
        <v>45849</v>
      </c>
      <c r="M102" s="7">
        <v>2027056.59</v>
      </c>
      <c r="N102" s="7">
        <v>1864689.36</v>
      </c>
      <c r="O102" s="8">
        <v>-8.01</v>
      </c>
      <c r="P102" s="8" t="str">
        <f>IF(O102&lt;0,"Below",IF(O102&gt;0,"Above","Equals"))</f>
        <v>Below</v>
      </c>
      <c r="Q102" s="4" t="s">
        <v>336</v>
      </c>
      <c r="R102" s="5"/>
      <c r="S102" s="6"/>
      <c r="U102" s="12">
        <v>4</v>
      </c>
      <c r="V102" s="4">
        <v>1131</v>
      </c>
      <c r="W102" s="14">
        <v>45877</v>
      </c>
      <c r="X102" s="4" t="s">
        <v>50</v>
      </c>
      <c r="Y102" s="13">
        <v>162</v>
      </c>
      <c r="Z102" s="26">
        <v>45931</v>
      </c>
      <c r="AA102" s="4" t="s">
        <v>299</v>
      </c>
      <c r="AB102" s="4" t="s">
        <v>312</v>
      </c>
      <c r="AC102" s="33">
        <v>44426507577</v>
      </c>
      <c r="AD102" s="9">
        <v>94000</v>
      </c>
      <c r="AE102" s="5">
        <v>45901</v>
      </c>
      <c r="AF102" s="11"/>
      <c r="AG102" s="11"/>
      <c r="AI102" s="9"/>
      <c r="AJ102" s="11"/>
      <c r="AK102" s="4">
        <v>1403</v>
      </c>
      <c r="AL102" s="14">
        <v>45931</v>
      </c>
    </row>
    <row r="103" spans="1:38" ht="43.5">
      <c r="A103" s="4" t="s">
        <v>50</v>
      </c>
      <c r="B103" s="4">
        <v>8</v>
      </c>
      <c r="C103" s="4">
        <v>20</v>
      </c>
      <c r="D103" s="6" t="s">
        <v>432</v>
      </c>
      <c r="E103" s="4" t="s">
        <v>10</v>
      </c>
      <c r="F103" s="4" t="str" cm="1">
        <f t="array" ref="F103">_xlfn.IFS(
  E103="Mahuva", "Mahuva",
  E103="Jesar", "Mahuva",
  E103="Palitana", "Palitana",
  E103="Gariyadhar", "Palitana",
  E103="Talaja", "Talaja",
  E103="Vallabhipur", "Vallabhipur",
  E103="Umrala", "Vallabhipur",
  E103="Shihor", "Shihor",
  E103="Ghogha", "Bhavnagar",
  E103="Bhavnagar", "Bhavnagar"
)</f>
        <v>Mahuva</v>
      </c>
      <c r="G103" s="4" t="s">
        <v>206</v>
      </c>
      <c r="H103" s="4">
        <v>199578</v>
      </c>
      <c r="I103" s="4">
        <v>2</v>
      </c>
      <c r="J103" s="5">
        <v>45837</v>
      </c>
      <c r="K103" s="5">
        <v>45848</v>
      </c>
      <c r="L103" s="5">
        <v>45849</v>
      </c>
      <c r="M103" s="7">
        <v>2027056.59</v>
      </c>
      <c r="N103" s="7">
        <v>1972326.06</v>
      </c>
      <c r="O103" s="8">
        <v>-2.7</v>
      </c>
      <c r="P103" s="8" t="str">
        <f>IF(O103&lt;0,"Below",IF(O103&gt;0,"Above","Equals"))</f>
        <v>Below</v>
      </c>
      <c r="Q103" s="4" t="s">
        <v>244</v>
      </c>
      <c r="R103" s="5"/>
      <c r="S103" s="6"/>
      <c r="U103" s="12">
        <v>4</v>
      </c>
      <c r="V103" s="4">
        <v>1135</v>
      </c>
      <c r="W103" s="14">
        <v>45877</v>
      </c>
      <c r="X103" s="4" t="s">
        <v>50</v>
      </c>
      <c r="Y103" s="13">
        <v>208</v>
      </c>
      <c r="Z103" s="26">
        <v>45974</v>
      </c>
      <c r="AA103" s="4" t="s">
        <v>299</v>
      </c>
      <c r="AB103" s="4" t="s">
        <v>312</v>
      </c>
      <c r="AC103" s="33">
        <v>44496712299</v>
      </c>
      <c r="AD103" s="9">
        <v>99000</v>
      </c>
      <c r="AE103" s="5">
        <v>45924</v>
      </c>
      <c r="AF103" s="11"/>
      <c r="AG103" s="11"/>
      <c r="AI103" s="9"/>
      <c r="AJ103" s="11"/>
      <c r="AK103" s="4">
        <v>1536</v>
      </c>
      <c r="AL103" s="14">
        <v>45974</v>
      </c>
    </row>
    <row r="104" spans="1:38" ht="43.5">
      <c r="A104" s="4" t="s">
        <v>50</v>
      </c>
      <c r="B104" s="4">
        <v>8</v>
      </c>
      <c r="C104" s="4">
        <v>22</v>
      </c>
      <c r="D104" s="6" t="s">
        <v>433</v>
      </c>
      <c r="E104" s="4" t="s">
        <v>3</v>
      </c>
      <c r="F104" s="4" t="str" cm="1">
        <f t="array" ref="F104">_xlfn.IFS(
  E104="Mahuva", "Mahuva",
  E104="Jesar", "Mahuva",
  E104="Palitana", "Palitana",
  E104="Gariyadhar", "Palitana",
  E104="Talaja", "Talaja",
  E104="Vallabhipur", "Vallabhipur",
  E104="Umrala", "Vallabhipur",
  E104="Shihor", "Shihor",
  E104="Ghogha", "Bhavnagar",
  E104="Bhavnagar", "Bhavnagar"
)</f>
        <v>Talaja</v>
      </c>
      <c r="G104" s="4" t="s">
        <v>206</v>
      </c>
      <c r="H104" s="4">
        <v>199581</v>
      </c>
      <c r="I104" s="4">
        <v>2</v>
      </c>
      <c r="J104" s="5">
        <v>45837</v>
      </c>
      <c r="K104" s="5">
        <v>45848</v>
      </c>
      <c r="L104" s="5">
        <v>45849</v>
      </c>
      <c r="M104" s="7">
        <v>2027056.59</v>
      </c>
      <c r="N104" s="7">
        <v>1970704.42</v>
      </c>
      <c r="O104" s="8">
        <v>-2.78</v>
      </c>
      <c r="P104" s="8" t="str">
        <f>IF(O104&lt;0,"Below",IF(O104&gt;0,"Above","Equals"))</f>
        <v>Below</v>
      </c>
      <c r="Q104" s="4" t="s">
        <v>337</v>
      </c>
      <c r="R104" s="5"/>
      <c r="S104" s="6"/>
      <c r="U104" s="12">
        <v>4</v>
      </c>
      <c r="V104" s="4">
        <v>1136</v>
      </c>
      <c r="W104" s="14">
        <v>45877</v>
      </c>
      <c r="X104" s="4" t="s">
        <v>50</v>
      </c>
      <c r="Y104" s="13">
        <v>150</v>
      </c>
      <c r="Z104" s="14">
        <v>45911</v>
      </c>
      <c r="AA104" s="4" t="s">
        <v>299</v>
      </c>
      <c r="AB104" s="4" t="s">
        <v>537</v>
      </c>
      <c r="AC104" s="33" t="s">
        <v>649</v>
      </c>
      <c r="AD104" s="9">
        <v>99000</v>
      </c>
      <c r="AE104" s="5">
        <v>45889</v>
      </c>
      <c r="AF104" s="11"/>
      <c r="AG104" s="11"/>
      <c r="AI104" s="9"/>
      <c r="AJ104" s="11"/>
      <c r="AK104" s="4">
        <v>1295</v>
      </c>
      <c r="AL104" s="14">
        <v>45911</v>
      </c>
    </row>
    <row r="105" spans="1:38" ht="43.5">
      <c r="A105" s="4" t="s">
        <v>50</v>
      </c>
      <c r="B105" s="4">
        <v>8</v>
      </c>
      <c r="C105" s="4">
        <v>23</v>
      </c>
      <c r="D105" s="6" t="s">
        <v>533</v>
      </c>
      <c r="E105" s="4" t="s">
        <v>0</v>
      </c>
      <c r="F105" s="4" t="str" cm="1">
        <f t="array" ref="F105">_xlfn.IFS(
  E105="Mahuva", "Mahuva",
  E105="Jesar", "Mahuva",
  E105="Palitana", "Palitana",
  E105="Gariyadhar", "Palitana",
  E105="Talaja", "Talaja",
  E105="Vallabhipur", "Vallabhipur",
  E105="Umrala", "Vallabhipur",
  E105="Shihor", "Shihor",
  E105="Ghogha", "Bhavnagar",
  E105="Bhavnagar", "Bhavnagar"
)</f>
        <v>Bhavnagar</v>
      </c>
      <c r="G105" s="4" t="s">
        <v>206</v>
      </c>
      <c r="H105" s="4">
        <v>199582</v>
      </c>
      <c r="I105" s="4">
        <v>2</v>
      </c>
      <c r="J105" s="5">
        <v>45837</v>
      </c>
      <c r="K105" s="5">
        <v>45848</v>
      </c>
      <c r="L105" s="5">
        <v>45849</v>
      </c>
      <c r="M105" s="7">
        <v>2654980.89</v>
      </c>
      <c r="N105" s="7">
        <v>2468866.73</v>
      </c>
      <c r="O105" s="8">
        <v>-7.01</v>
      </c>
      <c r="P105" s="8" t="str">
        <f>IF(O105&lt;0,"Below",IF(O105&gt;0,"Above","Equals"))</f>
        <v>Below</v>
      </c>
      <c r="Q105" s="4" t="s">
        <v>338</v>
      </c>
      <c r="R105" s="5"/>
      <c r="S105" s="6"/>
      <c r="U105" s="12">
        <v>4</v>
      </c>
      <c r="V105" s="4">
        <v>1137</v>
      </c>
      <c r="W105" s="14">
        <v>45877</v>
      </c>
      <c r="X105" s="4"/>
      <c r="Y105" s="13"/>
      <c r="Z105" s="13"/>
      <c r="AA105" s="4"/>
      <c r="AB105" s="4"/>
      <c r="AD105" s="9"/>
      <c r="AE105" s="5"/>
      <c r="AF105" s="11"/>
      <c r="AG105" s="11"/>
      <c r="AI105" s="9"/>
      <c r="AJ105" s="11"/>
      <c r="AK105" s="4"/>
    </row>
    <row r="106" spans="1:38" ht="43.5">
      <c r="A106" s="4" t="s">
        <v>50</v>
      </c>
      <c r="B106" s="4">
        <v>8</v>
      </c>
      <c r="C106" s="4">
        <v>24</v>
      </c>
      <c r="D106" s="6" t="s">
        <v>512</v>
      </c>
      <c r="E106" s="4" t="s">
        <v>0</v>
      </c>
      <c r="F106" s="4" t="str" cm="1">
        <f t="array" ref="F106">_xlfn.IFS(
  E106="Mahuva", "Mahuva",
  E106="Jesar", "Mahuva",
  E106="Palitana", "Palitana",
  E106="Gariyadhar", "Palitana",
  E106="Talaja", "Talaja",
  E106="Vallabhipur", "Vallabhipur",
  E106="Umrala", "Vallabhipur",
  E106="Shihor", "Shihor",
  E106="Ghogha", "Bhavnagar",
  E106="Bhavnagar", "Bhavnagar"
)</f>
        <v>Bhavnagar</v>
      </c>
      <c r="G106" s="4" t="s">
        <v>206</v>
      </c>
      <c r="H106" s="4">
        <v>199583</v>
      </c>
      <c r="I106" s="4">
        <v>2</v>
      </c>
      <c r="J106" s="5">
        <v>45837</v>
      </c>
      <c r="K106" s="5">
        <v>45848</v>
      </c>
      <c r="L106" s="5">
        <v>45849</v>
      </c>
      <c r="M106" s="7">
        <v>2654980.89</v>
      </c>
      <c r="N106" s="7">
        <v>2468866.73</v>
      </c>
      <c r="O106" s="8">
        <v>-7.01</v>
      </c>
      <c r="P106" s="8" t="str">
        <f>IF(O106&lt;0,"Below",IF(O106&gt;0,"Above","Equals"))</f>
        <v>Below</v>
      </c>
      <c r="Q106" s="4" t="s">
        <v>338</v>
      </c>
      <c r="R106" s="5"/>
      <c r="S106" s="6"/>
      <c r="U106" s="12">
        <v>4</v>
      </c>
      <c r="V106" s="4">
        <v>1144</v>
      </c>
      <c r="W106" s="14">
        <v>45877</v>
      </c>
      <c r="X106" s="4" t="s">
        <v>50</v>
      </c>
      <c r="Y106" s="13">
        <v>209</v>
      </c>
      <c r="Z106" s="14">
        <v>45974</v>
      </c>
      <c r="AA106" s="4" t="s">
        <v>299</v>
      </c>
      <c r="AB106" s="4" t="s">
        <v>312</v>
      </c>
      <c r="AC106" s="33">
        <v>44564243728</v>
      </c>
      <c r="AD106" s="9">
        <v>124500</v>
      </c>
      <c r="AE106" s="5">
        <v>45947</v>
      </c>
      <c r="AF106" s="11"/>
      <c r="AG106" s="11"/>
      <c r="AI106" s="9"/>
      <c r="AJ106" s="11"/>
      <c r="AK106" s="4">
        <v>1537</v>
      </c>
      <c r="AL106" s="14">
        <v>45974</v>
      </c>
    </row>
    <row r="107" spans="1:38" ht="43.5">
      <c r="A107" s="4" t="s">
        <v>50</v>
      </c>
      <c r="B107" s="4">
        <v>8</v>
      </c>
      <c r="C107" s="4">
        <v>26</v>
      </c>
      <c r="D107" s="6" t="s">
        <v>434</v>
      </c>
      <c r="E107" s="4" t="s">
        <v>0</v>
      </c>
      <c r="F107" s="4" t="str" cm="1">
        <f t="array" ref="F107">_xlfn.IFS(
  E107="Mahuva", "Mahuva",
  E107="Jesar", "Mahuva",
  E107="Palitana", "Palitana",
  E107="Gariyadhar", "Palitana",
  E107="Talaja", "Talaja",
  E107="Vallabhipur", "Vallabhipur",
  E107="Umrala", "Vallabhipur",
  E107="Shihor", "Shihor",
  E107="Ghogha", "Bhavnagar",
  E107="Bhavnagar", "Bhavnagar"
)</f>
        <v>Bhavnagar</v>
      </c>
      <c r="G107" s="4" t="s">
        <v>206</v>
      </c>
      <c r="H107" s="4">
        <v>199613</v>
      </c>
      <c r="I107" s="4"/>
      <c r="J107" s="5">
        <v>45837</v>
      </c>
      <c r="K107" s="5">
        <v>45848</v>
      </c>
      <c r="L107" s="5">
        <v>45849</v>
      </c>
      <c r="M107" s="7">
        <v>2079935.08</v>
      </c>
      <c r="N107" s="7">
        <v>1897940.76</v>
      </c>
      <c r="O107" s="8">
        <v>-8.75</v>
      </c>
      <c r="P107" s="8" t="str">
        <f>IF(O107&lt;0,"Below",IF(O107&gt;0,"Above","Equals"))</f>
        <v>Below</v>
      </c>
      <c r="Q107" s="4" t="s">
        <v>534</v>
      </c>
      <c r="R107" s="5"/>
      <c r="S107" s="6"/>
      <c r="U107" s="12">
        <v>4</v>
      </c>
      <c r="V107" s="4">
        <v>1141</v>
      </c>
      <c r="W107" s="14">
        <v>45877</v>
      </c>
      <c r="X107" s="4" t="s">
        <v>50</v>
      </c>
      <c r="Y107" s="13">
        <v>309</v>
      </c>
      <c r="Z107" s="26">
        <v>46069</v>
      </c>
      <c r="AA107" s="4" t="s">
        <v>299</v>
      </c>
      <c r="AB107" s="4" t="s">
        <v>632</v>
      </c>
      <c r="AC107" s="33">
        <v>5939081068</v>
      </c>
      <c r="AD107" s="9">
        <v>95000</v>
      </c>
      <c r="AE107" s="5">
        <v>46056</v>
      </c>
      <c r="AF107" s="11"/>
      <c r="AG107" s="11"/>
      <c r="AI107" s="9"/>
      <c r="AJ107" s="11"/>
      <c r="AK107" s="4">
        <v>246</v>
      </c>
      <c r="AL107" s="14">
        <v>46069</v>
      </c>
    </row>
    <row r="108" spans="1:38" ht="72.5">
      <c r="A108" s="4" t="s">
        <v>50</v>
      </c>
      <c r="B108" s="4">
        <v>8</v>
      </c>
      <c r="C108" s="4">
        <v>27</v>
      </c>
      <c r="D108" s="6" t="s">
        <v>435</v>
      </c>
      <c r="E108" s="4" t="s">
        <v>0</v>
      </c>
      <c r="F108" s="4" t="str" cm="1">
        <f t="array" ref="F108">_xlfn.IFS(
  E108="Mahuva", "Mahuva",
  E108="Jesar", "Mahuva",
  E108="Palitana", "Palitana",
  E108="Gariyadhar", "Palitana",
  E108="Talaja", "Talaja",
  E108="Vallabhipur", "Vallabhipur",
  E108="Umrala", "Vallabhipur",
  E108="Shihor", "Shihor",
  E108="Ghogha", "Bhavnagar",
  E108="Bhavnagar", "Bhavnagar"
)</f>
        <v>Bhavnagar</v>
      </c>
      <c r="G108" s="4" t="s">
        <v>206</v>
      </c>
      <c r="H108" s="4">
        <v>199614</v>
      </c>
      <c r="I108" s="4"/>
      <c r="J108" s="5">
        <v>45837</v>
      </c>
      <c r="K108" s="5">
        <v>45848</v>
      </c>
      <c r="L108" s="5">
        <v>45849</v>
      </c>
      <c r="M108" s="7">
        <v>2079935.08</v>
      </c>
      <c r="N108" s="7">
        <v>1973234.41</v>
      </c>
      <c r="O108" s="8">
        <v>-5.13</v>
      </c>
      <c r="P108" s="8" t="str">
        <f>IF(O108&lt;0,"Below",IF(O108&gt;0,"Above","Equals"))</f>
        <v>Below</v>
      </c>
      <c r="Q108" s="4" t="s">
        <v>339</v>
      </c>
      <c r="R108" s="5"/>
      <c r="S108" s="6"/>
      <c r="U108" s="12">
        <v>4</v>
      </c>
      <c r="V108" s="4">
        <v>1145</v>
      </c>
      <c r="W108" s="14">
        <v>45877</v>
      </c>
      <c r="X108" s="4" t="s">
        <v>50</v>
      </c>
      <c r="Y108" s="13">
        <v>145</v>
      </c>
      <c r="Z108" s="26">
        <v>45910</v>
      </c>
      <c r="AA108" s="4" t="s">
        <v>299</v>
      </c>
      <c r="AB108" s="4" t="s">
        <v>642</v>
      </c>
      <c r="AC108" s="33" t="s">
        <v>643</v>
      </c>
      <c r="AD108" s="9">
        <v>99000</v>
      </c>
      <c r="AE108" s="5">
        <v>45889</v>
      </c>
      <c r="AF108" s="11"/>
      <c r="AG108" s="11"/>
      <c r="AI108" s="9"/>
      <c r="AJ108" s="11"/>
      <c r="AK108" s="4">
        <v>1289</v>
      </c>
      <c r="AL108" s="14">
        <v>45910</v>
      </c>
    </row>
    <row r="109" spans="1:38" ht="72.5">
      <c r="A109" s="4" t="s">
        <v>50</v>
      </c>
      <c r="B109" s="4">
        <v>8</v>
      </c>
      <c r="C109" s="4">
        <v>28</v>
      </c>
      <c r="D109" s="6" t="s">
        <v>436</v>
      </c>
      <c r="E109" s="4" t="s">
        <v>0</v>
      </c>
      <c r="F109" s="4" t="str" cm="1">
        <f t="array" ref="F109">_xlfn.IFS(
  E109="Mahuva", "Mahuva",
  E109="Jesar", "Mahuva",
  E109="Palitana", "Palitana",
  E109="Gariyadhar", "Palitana",
  E109="Talaja", "Talaja",
  E109="Vallabhipur", "Vallabhipur",
  E109="Umrala", "Vallabhipur",
  E109="Shihor", "Shihor",
  E109="Ghogha", "Bhavnagar",
  E109="Bhavnagar", "Bhavnagar"
)</f>
        <v>Bhavnagar</v>
      </c>
      <c r="G109" s="4" t="s">
        <v>206</v>
      </c>
      <c r="H109" s="4">
        <v>199616</v>
      </c>
      <c r="I109" s="4"/>
      <c r="J109" s="5">
        <v>45837</v>
      </c>
      <c r="K109" s="5">
        <v>45848</v>
      </c>
      <c r="L109" s="5">
        <v>45849</v>
      </c>
      <c r="M109" s="7">
        <v>2079935.08</v>
      </c>
      <c r="N109" s="7">
        <v>1972402.44</v>
      </c>
      <c r="O109" s="8">
        <v>-5.17</v>
      </c>
      <c r="P109" s="8" t="str">
        <f>IF(O109&lt;0,"Below",IF(O109&gt;0,"Above","Equals"))</f>
        <v>Below</v>
      </c>
      <c r="Q109" s="4" t="s">
        <v>339</v>
      </c>
      <c r="R109" s="5"/>
      <c r="S109" s="6"/>
      <c r="U109" s="12">
        <v>4</v>
      </c>
      <c r="V109" s="4">
        <v>1143</v>
      </c>
      <c r="W109" s="14">
        <v>45877</v>
      </c>
      <c r="X109" s="4" t="s">
        <v>50</v>
      </c>
      <c r="Y109" s="13">
        <v>146</v>
      </c>
      <c r="Z109" s="26">
        <v>45910</v>
      </c>
      <c r="AA109" s="4" t="s">
        <v>299</v>
      </c>
      <c r="AB109" s="4" t="s">
        <v>642</v>
      </c>
      <c r="AC109" s="33" t="s">
        <v>644</v>
      </c>
      <c r="AD109" s="9">
        <v>99000</v>
      </c>
      <c r="AE109" s="5">
        <v>45889</v>
      </c>
      <c r="AF109" s="11"/>
      <c r="AG109" s="11"/>
      <c r="AI109" s="9"/>
      <c r="AJ109" s="11"/>
      <c r="AK109" s="4">
        <v>1290</v>
      </c>
      <c r="AL109" s="14">
        <v>45910</v>
      </c>
    </row>
    <row r="110" spans="1:38" ht="43.5">
      <c r="A110" s="4" t="s">
        <v>50</v>
      </c>
      <c r="B110" s="4">
        <v>8</v>
      </c>
      <c r="C110" s="4">
        <v>33</v>
      </c>
      <c r="D110" s="6" t="s">
        <v>437</v>
      </c>
      <c r="E110" s="4" t="s">
        <v>207</v>
      </c>
      <c r="F110" s="4" t="str" cm="1">
        <f t="array" ref="F110">_xlfn.IFS(
  E110="Mahuva", "Mahuva",
  E110="Jesar", "Mahuva",
  E110="Palitana", "Palitana",
  E110="Gariyadhar", "Palitana",
  E110="Talaja", "Talaja",
  E110="Vallabhipur", "Vallabhipur",
  E110="Umrala", "Vallabhipur",
  E110="Shihor", "Shihor",
  E110="Ghogha", "Bhavnagar",
  E110="Bhavnagar", "Bhavnagar"
)</f>
        <v>Palitana</v>
      </c>
      <c r="G110" s="4" t="s">
        <v>206</v>
      </c>
      <c r="H110" s="4">
        <v>199628</v>
      </c>
      <c r="I110" s="4"/>
      <c r="J110" s="5">
        <v>45837</v>
      </c>
      <c r="K110" s="5">
        <v>45848</v>
      </c>
      <c r="L110" s="5">
        <v>45849</v>
      </c>
      <c r="M110" s="7">
        <v>2079935.08</v>
      </c>
      <c r="N110" s="7">
        <v>1944531.31</v>
      </c>
      <c r="O110" s="8">
        <v>-6.51</v>
      </c>
      <c r="P110" s="8" t="str">
        <f>IF(O110&lt;0,"Below",IF(O110&gt;0,"Above","Equals"))</f>
        <v>Below</v>
      </c>
      <c r="Q110" s="4" t="s">
        <v>237</v>
      </c>
      <c r="R110" s="5"/>
      <c r="S110" s="6"/>
      <c r="U110" s="12">
        <v>4</v>
      </c>
      <c r="V110" s="4">
        <v>1138</v>
      </c>
      <c r="W110" s="14">
        <v>45877</v>
      </c>
      <c r="X110" s="4" t="s">
        <v>50</v>
      </c>
      <c r="Y110" s="13">
        <v>276</v>
      </c>
      <c r="Z110" s="26">
        <v>46042</v>
      </c>
      <c r="AA110" s="4" t="s">
        <v>299</v>
      </c>
      <c r="AB110" s="4" t="s">
        <v>312</v>
      </c>
      <c r="AC110" s="33" t="s">
        <v>962</v>
      </c>
      <c r="AD110" s="9">
        <v>98000</v>
      </c>
      <c r="AE110" s="5">
        <v>46020</v>
      </c>
      <c r="AF110" s="11"/>
      <c r="AG110" s="11"/>
      <c r="AI110" s="9"/>
      <c r="AJ110" s="11"/>
      <c r="AK110" s="4">
        <v>70</v>
      </c>
      <c r="AL110" s="14">
        <v>46042</v>
      </c>
    </row>
    <row r="111" spans="1:38" ht="43.5">
      <c r="A111" s="4" t="s">
        <v>50</v>
      </c>
      <c r="B111" s="4">
        <v>8</v>
      </c>
      <c r="C111" s="4">
        <v>34</v>
      </c>
      <c r="D111" s="6" t="s">
        <v>438</v>
      </c>
      <c r="E111" s="4" t="s">
        <v>207</v>
      </c>
      <c r="F111" s="4" t="str" cm="1">
        <f t="array" ref="F111">_xlfn.IFS(
  E111="Mahuva", "Mahuva",
  E111="Jesar", "Mahuva",
  E111="Palitana", "Palitana",
  E111="Gariyadhar", "Palitana",
  E111="Talaja", "Talaja",
  E111="Vallabhipur", "Vallabhipur",
  E111="Umrala", "Vallabhipur",
  E111="Shihor", "Shihor",
  E111="Ghogha", "Bhavnagar",
  E111="Bhavnagar", "Bhavnagar"
)</f>
        <v>Palitana</v>
      </c>
      <c r="G111" s="4" t="s">
        <v>206</v>
      </c>
      <c r="H111" s="4">
        <v>199630</v>
      </c>
      <c r="I111" s="4"/>
      <c r="J111" s="5">
        <v>45837</v>
      </c>
      <c r="K111" s="5">
        <v>45848</v>
      </c>
      <c r="L111" s="5">
        <v>45849</v>
      </c>
      <c r="M111" s="7">
        <v>2079935.08</v>
      </c>
      <c r="N111" s="7">
        <v>1909172.41</v>
      </c>
      <c r="O111" s="8">
        <v>-8.2100000000000009</v>
      </c>
      <c r="P111" s="8" t="str">
        <f>IF(O111&lt;0,"Below",IF(O111&gt;0,"Above","Equals"))</f>
        <v>Below</v>
      </c>
      <c r="Q111" s="4" t="s">
        <v>237</v>
      </c>
      <c r="R111" s="5"/>
      <c r="S111" s="6"/>
      <c r="U111" s="12">
        <v>4</v>
      </c>
      <c r="V111" s="4">
        <v>1139</v>
      </c>
      <c r="W111" s="14">
        <v>45877</v>
      </c>
      <c r="X111" s="4" t="s">
        <v>50</v>
      </c>
      <c r="Y111" s="13">
        <v>241</v>
      </c>
      <c r="Z111" s="38">
        <v>46009</v>
      </c>
      <c r="AA111" s="4" t="s">
        <v>299</v>
      </c>
      <c r="AB111" s="4" t="s">
        <v>312</v>
      </c>
      <c r="AC111" s="33">
        <v>44748016208</v>
      </c>
      <c r="AD111" s="9">
        <v>96000</v>
      </c>
      <c r="AE111" s="5">
        <v>46008</v>
      </c>
      <c r="AF111" s="11"/>
      <c r="AG111" s="11"/>
      <c r="AI111" s="9"/>
      <c r="AJ111" s="11"/>
      <c r="AK111" s="4">
        <v>1747</v>
      </c>
      <c r="AL111" s="14">
        <v>46013</v>
      </c>
    </row>
    <row r="112" spans="1:38" ht="43.5">
      <c r="A112" s="4" t="s">
        <v>50</v>
      </c>
      <c r="B112" s="4">
        <v>8</v>
      </c>
      <c r="C112" s="4">
        <v>36</v>
      </c>
      <c r="D112" s="6" t="s">
        <v>439</v>
      </c>
      <c r="E112" s="4" t="s">
        <v>207</v>
      </c>
      <c r="F112" s="4" t="str" cm="1">
        <f t="array" ref="F112">_xlfn.IFS(
  E112="Mahuva", "Mahuva",
  E112="Jesar", "Mahuva",
  E112="Palitana", "Palitana",
  E112="Gariyadhar", "Palitana",
  E112="Talaja", "Talaja",
  E112="Vallabhipur", "Vallabhipur",
  E112="Umrala", "Vallabhipur",
  E112="Shihor", "Shihor",
  E112="Ghogha", "Bhavnagar",
  E112="Bhavnagar", "Bhavnagar"
)</f>
        <v>Palitana</v>
      </c>
      <c r="G112" s="4" t="s">
        <v>206</v>
      </c>
      <c r="H112" s="4">
        <v>199632</v>
      </c>
      <c r="I112" s="4"/>
      <c r="J112" s="5">
        <v>45837</v>
      </c>
      <c r="K112" s="5">
        <v>45848</v>
      </c>
      <c r="L112" s="5">
        <v>45849</v>
      </c>
      <c r="M112" s="7">
        <v>2079935.08</v>
      </c>
      <c r="N112" s="7">
        <v>1872149.57</v>
      </c>
      <c r="O112" s="8">
        <v>-9.99</v>
      </c>
      <c r="P112" s="8" t="str">
        <f>IF(O112&lt;0,"Below",IF(O112&gt;0,"Above","Equals"))</f>
        <v>Below</v>
      </c>
      <c r="Q112" s="4" t="s">
        <v>340</v>
      </c>
      <c r="R112" s="5"/>
      <c r="S112" s="6"/>
      <c r="U112" s="12">
        <v>4</v>
      </c>
      <c r="V112" s="4">
        <v>1142</v>
      </c>
      <c r="W112" s="14">
        <v>45877</v>
      </c>
      <c r="X112" s="4" t="s">
        <v>50</v>
      </c>
      <c r="Y112" s="13">
        <v>118</v>
      </c>
      <c r="Z112" s="26">
        <v>45898</v>
      </c>
      <c r="AA112" s="4" t="s">
        <v>299</v>
      </c>
      <c r="AB112" s="4" t="s">
        <v>312</v>
      </c>
      <c r="AC112" s="33">
        <v>44406538780</v>
      </c>
      <c r="AD112" s="9">
        <v>94000</v>
      </c>
      <c r="AE112" s="5">
        <v>45895</v>
      </c>
      <c r="AF112" s="11"/>
      <c r="AG112" s="11"/>
      <c r="AI112" s="9"/>
      <c r="AJ112" s="11"/>
      <c r="AK112" s="4">
        <v>1221</v>
      </c>
      <c r="AL112" s="14">
        <v>45898</v>
      </c>
    </row>
    <row r="113" spans="1:38" ht="43.5">
      <c r="A113" s="4" t="s">
        <v>50</v>
      </c>
      <c r="B113" s="4">
        <v>8</v>
      </c>
      <c r="C113" s="4">
        <v>37</v>
      </c>
      <c r="D113" s="6" t="s">
        <v>440</v>
      </c>
      <c r="E113" s="4" t="s">
        <v>207</v>
      </c>
      <c r="F113" s="4" t="str" cm="1">
        <f t="array" ref="F113">_xlfn.IFS(
  E113="Mahuva", "Mahuva",
  E113="Jesar", "Mahuva",
  E113="Palitana", "Palitana",
  E113="Gariyadhar", "Palitana",
  E113="Talaja", "Talaja",
  E113="Vallabhipur", "Vallabhipur",
  E113="Umrala", "Vallabhipur",
  E113="Shihor", "Shihor",
  E113="Ghogha", "Bhavnagar",
  E113="Bhavnagar", "Bhavnagar"
)</f>
        <v>Palitana</v>
      </c>
      <c r="G113" s="4" t="s">
        <v>206</v>
      </c>
      <c r="H113" s="4">
        <v>199634</v>
      </c>
      <c r="I113" s="4"/>
      <c r="J113" s="5">
        <v>45837</v>
      </c>
      <c r="K113" s="5">
        <v>45848</v>
      </c>
      <c r="L113" s="5">
        <v>45849</v>
      </c>
      <c r="M113" s="7">
        <v>2079935.08</v>
      </c>
      <c r="N113" s="7">
        <v>1909172.41</v>
      </c>
      <c r="O113" s="8">
        <v>-8.2100000000000009</v>
      </c>
      <c r="P113" s="8" t="str">
        <f>IF(O113&lt;0,"Below",IF(O113&gt;0,"Above","Equals"))</f>
        <v>Below</v>
      </c>
      <c r="Q113" s="4" t="s">
        <v>237</v>
      </c>
      <c r="R113" s="5"/>
      <c r="S113" s="6"/>
      <c r="U113" s="12">
        <v>4</v>
      </c>
      <c r="V113" s="4">
        <v>1140</v>
      </c>
      <c r="W113" s="14">
        <v>45877</v>
      </c>
      <c r="X113" s="4" t="s">
        <v>50</v>
      </c>
      <c r="Y113" s="13">
        <v>334</v>
      </c>
      <c r="Z113" s="26">
        <v>46088</v>
      </c>
      <c r="AA113" s="4" t="s">
        <v>299</v>
      </c>
      <c r="AB113" s="4" t="s">
        <v>312</v>
      </c>
      <c r="AC113" s="33" t="s">
        <v>1059</v>
      </c>
      <c r="AD113" s="9">
        <v>96000</v>
      </c>
      <c r="AE113" s="5">
        <v>46072</v>
      </c>
      <c r="AF113" s="11"/>
      <c r="AG113" s="11"/>
      <c r="AI113" s="9"/>
      <c r="AJ113" s="11"/>
      <c r="AK113" s="4">
        <v>338</v>
      </c>
      <c r="AL113" s="14">
        <v>46088</v>
      </c>
    </row>
    <row r="114" spans="1:38" ht="43.5">
      <c r="A114" s="4" t="s">
        <v>50</v>
      </c>
      <c r="B114" s="4">
        <v>8</v>
      </c>
      <c r="C114" s="4">
        <v>42</v>
      </c>
      <c r="D114" s="6" t="s">
        <v>441</v>
      </c>
      <c r="E114" s="4" t="s">
        <v>207</v>
      </c>
      <c r="F114" s="4" t="str" cm="1">
        <f t="array" ref="F114">_xlfn.IFS(
  E114="Mahuva", "Mahuva",
  E114="Jesar", "Mahuva",
  E114="Palitana", "Palitana",
  E114="Gariyadhar", "Palitana",
  E114="Talaja", "Talaja",
  E114="Vallabhipur", "Vallabhipur",
  E114="Umrala", "Vallabhipur",
  E114="Shihor", "Shihor",
  E114="Ghogha", "Bhavnagar",
  E114="Bhavnagar", "Bhavnagar"
)</f>
        <v>Palitana</v>
      </c>
      <c r="G114" s="4" t="s">
        <v>206</v>
      </c>
      <c r="H114" s="4">
        <v>199640</v>
      </c>
      <c r="I114" s="4"/>
      <c r="J114" s="5">
        <v>45837</v>
      </c>
      <c r="K114" s="5">
        <v>45848</v>
      </c>
      <c r="L114" s="5">
        <v>45849</v>
      </c>
      <c r="M114" s="7">
        <v>2079935.08</v>
      </c>
      <c r="N114" s="7">
        <v>1932051.7</v>
      </c>
      <c r="O114" s="8">
        <v>-7.11</v>
      </c>
      <c r="P114" s="8" t="str">
        <f>IF(O114&lt;0,"Below",IF(O114&gt;0,"Above","Equals"))</f>
        <v>Below</v>
      </c>
      <c r="Q114" s="4" t="s">
        <v>340</v>
      </c>
      <c r="R114" s="5"/>
      <c r="S114" s="6"/>
      <c r="U114" s="12">
        <v>4</v>
      </c>
      <c r="V114" s="4">
        <v>1099</v>
      </c>
      <c r="W114" s="14">
        <v>45877</v>
      </c>
      <c r="X114" s="4" t="s">
        <v>50</v>
      </c>
      <c r="Y114" s="13">
        <v>119</v>
      </c>
      <c r="Z114" s="26">
        <v>45898</v>
      </c>
      <c r="AA114" s="4" t="s">
        <v>299</v>
      </c>
      <c r="AB114" s="4" t="s">
        <v>312</v>
      </c>
      <c r="AC114" s="33">
        <v>44406429679</v>
      </c>
      <c r="AD114" s="9">
        <v>97000</v>
      </c>
      <c r="AE114" s="5">
        <v>45895</v>
      </c>
      <c r="AF114" s="11"/>
      <c r="AG114" s="11"/>
      <c r="AI114" s="9"/>
      <c r="AJ114" s="11"/>
      <c r="AK114" s="4">
        <v>1222</v>
      </c>
      <c r="AL114" s="14">
        <v>45898</v>
      </c>
    </row>
    <row r="115" spans="1:38" ht="43.5">
      <c r="A115" s="4" t="s">
        <v>50</v>
      </c>
      <c r="B115" s="4">
        <v>8</v>
      </c>
      <c r="C115" s="4">
        <v>43</v>
      </c>
      <c r="D115" s="6" t="s">
        <v>442</v>
      </c>
      <c r="E115" s="4" t="s">
        <v>207</v>
      </c>
      <c r="F115" s="4" t="str" cm="1">
        <f t="array" ref="F115">_xlfn.IFS(
  E115="Mahuva", "Mahuva",
  E115="Jesar", "Mahuva",
  E115="Palitana", "Palitana",
  E115="Gariyadhar", "Palitana",
  E115="Talaja", "Talaja",
  E115="Vallabhipur", "Vallabhipur",
  E115="Umrala", "Vallabhipur",
  E115="Shihor", "Shihor",
  E115="Ghogha", "Bhavnagar",
  E115="Bhavnagar", "Bhavnagar"
)</f>
        <v>Palitana</v>
      </c>
      <c r="G115" s="4" t="s">
        <v>206</v>
      </c>
      <c r="H115" s="4">
        <v>199641</v>
      </c>
      <c r="I115" s="4"/>
      <c r="J115" s="5">
        <v>45837</v>
      </c>
      <c r="K115" s="5">
        <v>45848</v>
      </c>
      <c r="L115" s="5">
        <v>45849</v>
      </c>
      <c r="M115" s="7">
        <v>2079935.08</v>
      </c>
      <c r="N115" s="7">
        <v>1916036.2</v>
      </c>
      <c r="O115" s="8">
        <v>-7.88</v>
      </c>
      <c r="P115" s="8" t="str">
        <f>IF(O115&lt;0,"Below",IF(O115&gt;0,"Above","Equals"))</f>
        <v>Below</v>
      </c>
      <c r="Q115" s="4" t="s">
        <v>341</v>
      </c>
      <c r="R115" s="5"/>
      <c r="S115" s="6"/>
      <c r="U115" s="12">
        <v>4</v>
      </c>
      <c r="V115" s="4">
        <v>1090</v>
      </c>
      <c r="W115" s="14">
        <v>45876</v>
      </c>
      <c r="X115" s="4" t="s">
        <v>50</v>
      </c>
      <c r="Y115" s="13">
        <v>219</v>
      </c>
      <c r="Z115" s="26">
        <v>45981</v>
      </c>
      <c r="AA115" s="4" t="s">
        <v>299</v>
      </c>
      <c r="AB115" s="4" t="s">
        <v>632</v>
      </c>
      <c r="AC115" s="33">
        <v>5896382185</v>
      </c>
      <c r="AD115" s="9">
        <v>96000</v>
      </c>
      <c r="AE115" s="5">
        <v>45967</v>
      </c>
      <c r="AF115" s="11"/>
      <c r="AG115" s="11"/>
      <c r="AI115" s="9"/>
      <c r="AJ115" s="11"/>
      <c r="AK115" s="4">
        <v>1551</v>
      </c>
      <c r="AL115" s="14">
        <v>45981</v>
      </c>
    </row>
    <row r="116" spans="1:38" ht="43.5">
      <c r="A116" s="4" t="s">
        <v>50</v>
      </c>
      <c r="B116" s="4">
        <v>8</v>
      </c>
      <c r="C116" s="4">
        <v>45</v>
      </c>
      <c r="D116" s="6" t="s">
        <v>443</v>
      </c>
      <c r="E116" s="4" t="s">
        <v>279</v>
      </c>
      <c r="F116" s="4" t="str" cm="1">
        <f t="array" ref="F116">_xlfn.IFS(
  E116="Mahuva", "Mahuva",
  E116="Jesar", "Mahuva",
  E116="Palitana", "Palitana",
  E116="Gariyadhar", "Palitana",
  E116="Talaja", "Talaja",
  E116="Vallabhipur", "Vallabhipur",
  E116="Umrala", "Vallabhipur",
  E116="Shihor", "Shihor",
  E116="Ghogha", "Bhavnagar",
  E116="Bhavnagar", "Bhavnagar"
)</f>
        <v>Bhavnagar</v>
      </c>
      <c r="G116" s="4" t="s">
        <v>206</v>
      </c>
      <c r="H116" s="4">
        <v>199644</v>
      </c>
      <c r="I116" s="4"/>
      <c r="J116" s="5">
        <v>45837</v>
      </c>
      <c r="K116" s="5">
        <v>45848</v>
      </c>
      <c r="L116" s="5">
        <v>45849</v>
      </c>
      <c r="M116" s="7">
        <v>2079935.08</v>
      </c>
      <c r="N116" s="7">
        <v>2036048.45</v>
      </c>
      <c r="O116" s="8">
        <v>-2.11</v>
      </c>
      <c r="P116" s="8" t="str">
        <f>IF(O116&lt;0,"Below",IF(O116&gt;0,"Above","Equals"))</f>
        <v>Below</v>
      </c>
      <c r="Q116" s="4" t="s">
        <v>338</v>
      </c>
      <c r="R116" s="5"/>
      <c r="S116" s="6"/>
      <c r="U116" s="12">
        <v>4</v>
      </c>
      <c r="V116" s="4">
        <v>1089</v>
      </c>
      <c r="W116" s="14">
        <v>45876</v>
      </c>
      <c r="X116" s="4"/>
      <c r="Y116" s="13"/>
      <c r="Z116" s="13"/>
      <c r="AA116" s="4"/>
      <c r="AB116" s="4"/>
      <c r="AD116" s="9"/>
      <c r="AE116" s="5"/>
      <c r="AF116" s="11"/>
      <c r="AG116" s="11"/>
      <c r="AI116" s="9"/>
      <c r="AJ116" s="11"/>
      <c r="AK116" s="4"/>
    </row>
    <row r="117" spans="1:38" ht="43.5">
      <c r="A117" s="4" t="s">
        <v>50</v>
      </c>
      <c r="B117" s="4">
        <v>8</v>
      </c>
      <c r="C117" s="4">
        <v>46</v>
      </c>
      <c r="D117" s="6" t="s">
        <v>444</v>
      </c>
      <c r="E117" s="4" t="s">
        <v>279</v>
      </c>
      <c r="F117" s="4" t="str" cm="1">
        <f t="array" ref="F117">_xlfn.IFS(
  E117="Mahuva", "Mahuva",
  E117="Jesar", "Mahuva",
  E117="Palitana", "Palitana",
  E117="Gariyadhar", "Palitana",
  E117="Talaja", "Talaja",
  E117="Vallabhipur", "Vallabhipur",
  E117="Umrala", "Vallabhipur",
  E117="Shihor", "Shihor",
  E117="Ghogha", "Bhavnagar",
  E117="Bhavnagar", "Bhavnagar"
)</f>
        <v>Bhavnagar</v>
      </c>
      <c r="G117" s="4" t="s">
        <v>206</v>
      </c>
      <c r="H117" s="4">
        <v>199645</v>
      </c>
      <c r="I117" s="4"/>
      <c r="J117" s="5">
        <v>45837</v>
      </c>
      <c r="K117" s="5">
        <v>45848</v>
      </c>
      <c r="L117" s="5">
        <v>45849</v>
      </c>
      <c r="M117" s="7">
        <v>2079935.08</v>
      </c>
      <c r="N117" s="7">
        <v>1970322.5</v>
      </c>
      <c r="O117" s="8">
        <v>-5.27</v>
      </c>
      <c r="P117" s="8" t="str">
        <f>IF(O117&lt;0,"Below",IF(O117&gt;0,"Above","Equals"))</f>
        <v>Below</v>
      </c>
      <c r="Q117" s="4" t="s">
        <v>337</v>
      </c>
      <c r="R117" s="5"/>
      <c r="S117" s="6"/>
      <c r="U117" s="12">
        <v>4</v>
      </c>
      <c r="V117" s="4">
        <v>1088</v>
      </c>
      <c r="W117" s="14">
        <v>45876</v>
      </c>
      <c r="X117" s="4" t="s">
        <v>50</v>
      </c>
      <c r="Y117" s="13">
        <v>151</v>
      </c>
      <c r="Z117" s="14">
        <v>45911</v>
      </c>
      <c r="AA117" s="4" t="s">
        <v>299</v>
      </c>
      <c r="AB117" s="4" t="s">
        <v>537</v>
      </c>
      <c r="AC117" s="33" t="s">
        <v>651</v>
      </c>
      <c r="AD117" s="9">
        <v>99000</v>
      </c>
      <c r="AE117" s="5">
        <v>45889</v>
      </c>
      <c r="AF117" s="11"/>
      <c r="AG117" s="11"/>
      <c r="AI117" s="9"/>
      <c r="AJ117" s="11"/>
      <c r="AK117" s="4">
        <v>1296</v>
      </c>
      <c r="AL117" s="14">
        <v>45911</v>
      </c>
    </row>
    <row r="118" spans="1:38" ht="43.5">
      <c r="A118" s="4" t="s">
        <v>50</v>
      </c>
      <c r="B118" s="4">
        <v>8</v>
      </c>
      <c r="C118" s="4">
        <v>47</v>
      </c>
      <c r="D118" s="6" t="s">
        <v>445</v>
      </c>
      <c r="E118" s="4" t="s">
        <v>279</v>
      </c>
      <c r="F118" s="4" t="str" cm="1">
        <f t="array" ref="F118">_xlfn.IFS(
  E118="Mahuva", "Mahuva",
  E118="Jesar", "Mahuva",
  E118="Palitana", "Palitana",
  E118="Gariyadhar", "Palitana",
  E118="Talaja", "Talaja",
  E118="Vallabhipur", "Vallabhipur",
  E118="Umrala", "Vallabhipur",
  E118="Shihor", "Shihor",
  E118="Ghogha", "Bhavnagar",
  E118="Bhavnagar", "Bhavnagar"
)</f>
        <v>Bhavnagar</v>
      </c>
      <c r="G118" s="4" t="s">
        <v>206</v>
      </c>
      <c r="H118" s="4">
        <v>199647</v>
      </c>
      <c r="I118" s="4"/>
      <c r="J118" s="5">
        <v>45837</v>
      </c>
      <c r="K118" s="5">
        <v>45848</v>
      </c>
      <c r="L118" s="5">
        <v>45849</v>
      </c>
      <c r="M118" s="7">
        <v>2079935.08</v>
      </c>
      <c r="N118" s="7">
        <v>1972194.44</v>
      </c>
      <c r="O118" s="8">
        <v>-5.18</v>
      </c>
      <c r="P118" s="8" t="str">
        <f>IF(O118&lt;0,"Below",IF(O118&gt;0,"Above","Equals"))</f>
        <v>Below</v>
      </c>
      <c r="Q118" s="4" t="s">
        <v>337</v>
      </c>
      <c r="R118" s="5"/>
      <c r="S118" s="6"/>
      <c r="U118" s="12">
        <v>4</v>
      </c>
      <c r="V118" s="4">
        <v>1087</v>
      </c>
      <c r="W118" s="14">
        <v>45876</v>
      </c>
      <c r="X118" s="4" t="s">
        <v>50</v>
      </c>
      <c r="Y118" s="13">
        <v>152</v>
      </c>
      <c r="Z118" s="14">
        <v>45911</v>
      </c>
      <c r="AA118" s="4" t="s">
        <v>299</v>
      </c>
      <c r="AB118" s="4" t="s">
        <v>537</v>
      </c>
      <c r="AC118" s="33" t="s">
        <v>652</v>
      </c>
      <c r="AD118" s="9">
        <v>99000</v>
      </c>
      <c r="AE118" s="5">
        <v>45889</v>
      </c>
      <c r="AF118" s="11"/>
      <c r="AG118" s="11"/>
      <c r="AI118" s="9"/>
      <c r="AJ118" s="11"/>
      <c r="AK118" s="4">
        <v>1297</v>
      </c>
      <c r="AL118" s="14">
        <v>45911</v>
      </c>
    </row>
    <row r="119" spans="1:38" ht="43.5">
      <c r="A119" s="4" t="s">
        <v>50</v>
      </c>
      <c r="B119" s="4">
        <v>8</v>
      </c>
      <c r="C119" s="4">
        <v>48</v>
      </c>
      <c r="D119" s="6" t="s">
        <v>446</v>
      </c>
      <c r="E119" s="4" t="s">
        <v>279</v>
      </c>
      <c r="F119" s="4" t="str" cm="1">
        <f t="array" ref="F119">_xlfn.IFS(
  E119="Mahuva", "Mahuva",
  E119="Jesar", "Mahuva",
  E119="Palitana", "Palitana",
  E119="Gariyadhar", "Palitana",
  E119="Talaja", "Talaja",
  E119="Vallabhipur", "Vallabhipur",
  E119="Umrala", "Vallabhipur",
  E119="Shihor", "Shihor",
  E119="Ghogha", "Bhavnagar",
  E119="Bhavnagar", "Bhavnagar"
)</f>
        <v>Bhavnagar</v>
      </c>
      <c r="G119" s="4" t="s">
        <v>206</v>
      </c>
      <c r="H119" s="4">
        <v>199648</v>
      </c>
      <c r="I119" s="4"/>
      <c r="J119" s="5">
        <v>45837</v>
      </c>
      <c r="K119" s="5">
        <v>45848</v>
      </c>
      <c r="L119" s="5">
        <v>45849</v>
      </c>
      <c r="M119" s="7">
        <v>2079935.08</v>
      </c>
      <c r="N119" s="7">
        <v>2036048.45</v>
      </c>
      <c r="O119" s="8">
        <v>-2.11</v>
      </c>
      <c r="P119" s="8" t="str">
        <f>IF(O119&lt;0,"Below",IF(O119&gt;0,"Above","Equals"))</f>
        <v>Below</v>
      </c>
      <c r="Q119" s="4" t="s">
        <v>338</v>
      </c>
      <c r="R119" s="5"/>
      <c r="S119" s="6"/>
      <c r="U119" s="12">
        <v>4</v>
      </c>
      <c r="V119" s="4">
        <v>1114</v>
      </c>
      <c r="W119" s="14">
        <v>45877</v>
      </c>
      <c r="X119" s="4" t="s">
        <v>50</v>
      </c>
      <c r="Y119" s="13">
        <v>188</v>
      </c>
      <c r="Z119" s="14">
        <v>45943</v>
      </c>
      <c r="AA119" s="4" t="s">
        <v>299</v>
      </c>
      <c r="AB119" s="4" t="s">
        <v>312</v>
      </c>
      <c r="AC119" s="33">
        <v>44461406656</v>
      </c>
      <c r="AD119" s="9">
        <v>102000</v>
      </c>
      <c r="AE119" s="5">
        <v>45911</v>
      </c>
      <c r="AF119" s="11"/>
      <c r="AG119" s="11"/>
      <c r="AI119" s="9"/>
      <c r="AJ119" s="11"/>
      <c r="AK119" s="4">
        <v>1472</v>
      </c>
      <c r="AL119" s="14">
        <v>45943</v>
      </c>
    </row>
    <row r="120" spans="1:38" ht="43.5">
      <c r="A120" s="4" t="s">
        <v>50</v>
      </c>
      <c r="B120" s="4">
        <v>8</v>
      </c>
      <c r="C120" s="4">
        <v>49</v>
      </c>
      <c r="D120" s="6" t="s">
        <v>447</v>
      </c>
      <c r="E120" s="4" t="s">
        <v>10</v>
      </c>
      <c r="F120" s="4" t="str" cm="1">
        <f t="array" ref="F120">_xlfn.IFS(
  E120="Mahuva", "Mahuva",
  E120="Jesar", "Mahuva",
  E120="Palitana", "Palitana",
  E120="Gariyadhar", "Palitana",
  E120="Talaja", "Talaja",
  E120="Vallabhipur", "Vallabhipur",
  E120="Umrala", "Vallabhipur",
  E120="Shihor", "Shihor",
  E120="Ghogha", "Bhavnagar",
  E120="Bhavnagar", "Bhavnagar"
)</f>
        <v>Mahuva</v>
      </c>
      <c r="G120" s="4" t="s">
        <v>206</v>
      </c>
      <c r="H120" s="4">
        <v>199649</v>
      </c>
      <c r="I120" s="4"/>
      <c r="J120" s="5">
        <v>45837</v>
      </c>
      <c r="K120" s="5">
        <v>45848</v>
      </c>
      <c r="L120" s="5">
        <v>45849</v>
      </c>
      <c r="M120" s="7">
        <v>2079935.08</v>
      </c>
      <c r="N120" s="7">
        <v>1944947.29</v>
      </c>
      <c r="O120" s="8">
        <v>-6.49</v>
      </c>
      <c r="P120" s="8" t="str">
        <f>IF(O120&lt;0,"Below",IF(O120&gt;0,"Above","Equals"))</f>
        <v>Below</v>
      </c>
      <c r="Q120" s="4" t="s">
        <v>334</v>
      </c>
      <c r="R120" s="5"/>
      <c r="S120" s="6"/>
      <c r="U120" s="12">
        <v>4</v>
      </c>
      <c r="V120" s="4">
        <v>1115</v>
      </c>
      <c r="W120" s="14">
        <v>45877</v>
      </c>
      <c r="X120" s="4" t="s">
        <v>50</v>
      </c>
      <c r="Y120" s="13">
        <v>123</v>
      </c>
      <c r="Z120" s="26">
        <v>45899</v>
      </c>
      <c r="AA120" s="4" t="s">
        <v>299</v>
      </c>
      <c r="AB120" s="4" t="s">
        <v>537</v>
      </c>
      <c r="AC120" s="33" t="s">
        <v>627</v>
      </c>
      <c r="AD120" s="9">
        <v>98000</v>
      </c>
      <c r="AE120" s="5">
        <v>45889</v>
      </c>
      <c r="AF120" s="11"/>
      <c r="AG120" s="11"/>
      <c r="AI120" s="9"/>
      <c r="AJ120" s="11"/>
      <c r="AK120" s="4">
        <v>1228</v>
      </c>
      <c r="AL120" s="14">
        <v>45899</v>
      </c>
    </row>
    <row r="121" spans="1:38" ht="23.4" customHeight="1">
      <c r="A121" s="4" t="s">
        <v>50</v>
      </c>
      <c r="B121" s="4">
        <v>8</v>
      </c>
      <c r="C121" s="4">
        <v>54</v>
      </c>
      <c r="D121" s="6" t="s">
        <v>448</v>
      </c>
      <c r="E121" s="4" t="s">
        <v>10</v>
      </c>
      <c r="F121" s="4" t="str" cm="1">
        <f t="array" ref="F121">_xlfn.IFS(
  E121="Mahuva", "Mahuva",
  E121="Jesar", "Mahuva",
  E121="Palitana", "Palitana",
  E121="Gariyadhar", "Palitana",
  E121="Talaja", "Talaja",
  E121="Vallabhipur", "Vallabhipur",
  E121="Umrala", "Vallabhipur",
  E121="Shihor", "Shihor",
  E121="Ghogha", "Bhavnagar",
  E121="Bhavnagar", "Bhavnagar"
)</f>
        <v>Mahuva</v>
      </c>
      <c r="G121" s="4" t="s">
        <v>206</v>
      </c>
      <c r="H121" s="4">
        <v>199654</v>
      </c>
      <c r="I121" s="4"/>
      <c r="J121" s="5">
        <v>45837</v>
      </c>
      <c r="K121" s="5">
        <v>45848</v>
      </c>
      <c r="L121" s="5">
        <v>45849</v>
      </c>
      <c r="M121" s="7">
        <v>2079935.08</v>
      </c>
      <c r="N121" s="7">
        <v>1874021.51</v>
      </c>
      <c r="O121" s="8">
        <v>-9.9</v>
      </c>
      <c r="P121" s="8" t="str">
        <f>IF(O121&lt;0,"Below",IF(O121&gt;0,"Above","Equals"))</f>
        <v>Below</v>
      </c>
      <c r="Q121" s="4" t="s">
        <v>330</v>
      </c>
      <c r="R121" s="5"/>
      <c r="S121" s="6"/>
      <c r="U121" s="12">
        <v>4</v>
      </c>
      <c r="V121" s="4">
        <v>1116</v>
      </c>
      <c r="W121" s="14">
        <v>45877</v>
      </c>
      <c r="X121" s="4" t="s">
        <v>50</v>
      </c>
      <c r="Y121" s="13">
        <v>169</v>
      </c>
      <c r="Z121" s="26">
        <v>45931</v>
      </c>
      <c r="AA121" s="4" t="s">
        <v>299</v>
      </c>
      <c r="AB121" s="4" t="s">
        <v>300</v>
      </c>
      <c r="AC121" s="33">
        <v>78048996947</v>
      </c>
      <c r="AD121" s="9">
        <v>94000</v>
      </c>
      <c r="AE121" s="5">
        <v>45887</v>
      </c>
      <c r="AF121" s="11"/>
      <c r="AG121" s="11"/>
      <c r="AI121" s="9"/>
      <c r="AJ121" s="11"/>
      <c r="AK121" s="4">
        <v>1409</v>
      </c>
      <c r="AL121" s="26">
        <v>45931</v>
      </c>
    </row>
    <row r="122" spans="1:38" ht="43.5">
      <c r="A122" s="4" t="s">
        <v>50</v>
      </c>
      <c r="B122" s="4">
        <v>8</v>
      </c>
      <c r="C122" s="4">
        <v>57</v>
      </c>
      <c r="D122" s="6" t="s">
        <v>449</v>
      </c>
      <c r="E122" s="4" t="s">
        <v>10</v>
      </c>
      <c r="F122" s="4" t="str" cm="1">
        <f t="array" ref="F122">_xlfn.IFS(
  E122="Mahuva", "Mahuva",
  E122="Jesar", "Mahuva",
  E122="Palitana", "Palitana",
  E122="Gariyadhar", "Palitana",
  E122="Talaja", "Talaja",
  E122="Vallabhipur", "Vallabhipur",
  E122="Umrala", "Vallabhipur",
  E122="Shihor", "Shihor",
  E122="Ghogha", "Bhavnagar",
  E122="Bhavnagar", "Bhavnagar"
)</f>
        <v>Mahuva</v>
      </c>
      <c r="G122" s="4" t="s">
        <v>206</v>
      </c>
      <c r="H122" s="4">
        <v>199657</v>
      </c>
      <c r="I122" s="4"/>
      <c r="J122" s="5">
        <v>45837</v>
      </c>
      <c r="K122" s="5">
        <v>45848</v>
      </c>
      <c r="L122" s="5">
        <v>45849</v>
      </c>
      <c r="M122" s="7">
        <v>2079935.08</v>
      </c>
      <c r="N122" s="7">
        <v>2077855.14</v>
      </c>
      <c r="O122" s="8">
        <v>-0.1</v>
      </c>
      <c r="P122" s="8" t="str">
        <f>IF(O122&lt;0,"Below",IF(O122&gt;0,"Above","Equals"))</f>
        <v>Below</v>
      </c>
      <c r="Q122" s="4" t="s">
        <v>335</v>
      </c>
      <c r="R122" s="5"/>
      <c r="S122" s="6"/>
      <c r="U122" s="12">
        <v>4</v>
      </c>
      <c r="V122" s="4">
        <v>1117</v>
      </c>
      <c r="W122" s="14">
        <v>45877</v>
      </c>
      <c r="X122" s="4" t="s">
        <v>50</v>
      </c>
      <c r="Y122" s="13">
        <v>121</v>
      </c>
      <c r="Z122" s="26">
        <v>45899</v>
      </c>
      <c r="AA122" s="4" t="s">
        <v>299</v>
      </c>
      <c r="AB122" s="4" t="s">
        <v>390</v>
      </c>
      <c r="AC122" s="33" t="s">
        <v>625</v>
      </c>
      <c r="AD122" s="9">
        <v>104000</v>
      </c>
      <c r="AE122" s="5">
        <v>45892</v>
      </c>
      <c r="AF122" s="11"/>
      <c r="AG122" s="11"/>
      <c r="AI122" s="9"/>
      <c r="AJ122" s="11"/>
      <c r="AK122" s="4">
        <v>1226</v>
      </c>
      <c r="AL122" s="14">
        <v>45899</v>
      </c>
    </row>
    <row r="123" spans="1:38" ht="43.5">
      <c r="A123" s="4" t="s">
        <v>50</v>
      </c>
      <c r="B123" s="4">
        <v>8</v>
      </c>
      <c r="C123" s="4">
        <v>64</v>
      </c>
      <c r="D123" s="6" t="s">
        <v>450</v>
      </c>
      <c r="E123" s="4" t="s">
        <v>10</v>
      </c>
      <c r="F123" s="4" t="str" cm="1">
        <f t="array" ref="F123">_xlfn.IFS(
  E123="Mahuva", "Mahuva",
  E123="Jesar", "Mahuva",
  E123="Palitana", "Palitana",
  E123="Gariyadhar", "Palitana",
  E123="Talaja", "Talaja",
  E123="Vallabhipur", "Vallabhipur",
  E123="Umrala", "Vallabhipur",
  E123="Shihor", "Shihor",
  E123="Ghogha", "Bhavnagar",
  E123="Bhavnagar", "Bhavnagar"
)</f>
        <v>Mahuva</v>
      </c>
      <c r="G123" s="4" t="s">
        <v>206</v>
      </c>
      <c r="H123" s="4">
        <v>199665</v>
      </c>
      <c r="I123" s="4"/>
      <c r="J123" s="5">
        <v>45837</v>
      </c>
      <c r="K123" s="5">
        <v>45848</v>
      </c>
      <c r="L123" s="5">
        <v>45849</v>
      </c>
      <c r="M123" s="7">
        <v>2079935.08</v>
      </c>
      <c r="N123" s="7">
        <v>1733625.89</v>
      </c>
      <c r="O123" s="8">
        <v>-16.649999999999999</v>
      </c>
      <c r="P123" s="8" t="str">
        <f>IF(O123&lt;0,"Below",IF(O123&gt;0,"Above","Equals"))</f>
        <v>Below</v>
      </c>
      <c r="Q123" s="4" t="s">
        <v>333</v>
      </c>
      <c r="R123" s="5"/>
      <c r="S123" s="6"/>
      <c r="U123" s="12">
        <v>4</v>
      </c>
      <c r="V123" s="4">
        <v>1067</v>
      </c>
      <c r="W123" s="14">
        <v>45874</v>
      </c>
      <c r="X123" s="4" t="s">
        <v>50</v>
      </c>
      <c r="Y123" s="13">
        <v>144</v>
      </c>
      <c r="Z123" s="26">
        <v>45910</v>
      </c>
      <c r="AA123" s="4" t="s">
        <v>299</v>
      </c>
      <c r="AB123" s="4" t="s">
        <v>300</v>
      </c>
      <c r="AC123" s="33">
        <v>78049184800</v>
      </c>
      <c r="AD123" s="9">
        <v>87000</v>
      </c>
      <c r="AE123" s="5">
        <v>45903</v>
      </c>
      <c r="AF123" s="4" t="s">
        <v>299</v>
      </c>
      <c r="AG123" s="4" t="s">
        <v>300</v>
      </c>
      <c r="AH123" s="33">
        <v>78049184811</v>
      </c>
      <c r="AI123" s="9">
        <v>28000</v>
      </c>
      <c r="AJ123" s="5">
        <v>45903</v>
      </c>
      <c r="AK123" s="4">
        <v>1287</v>
      </c>
      <c r="AL123" s="14">
        <v>45910</v>
      </c>
    </row>
    <row r="124" spans="1:38" ht="43.5">
      <c r="A124" s="4" t="s">
        <v>50</v>
      </c>
      <c r="B124" s="4">
        <v>8</v>
      </c>
      <c r="C124" s="4">
        <v>68</v>
      </c>
      <c r="D124" s="6" t="s">
        <v>451</v>
      </c>
      <c r="E124" s="4" t="s">
        <v>2</v>
      </c>
      <c r="F124" s="4" t="str" cm="1">
        <f t="array" ref="F124">_xlfn.IFS(
  E124="Mahuva", "Mahuva",
  E124="Jesar", "Mahuva",
  E124="Palitana", "Palitana",
  E124="Gariyadhar", "Palitana",
  E124="Talaja", "Talaja",
  E124="Vallabhipur", "Vallabhipur",
  E124="Umrala", "Vallabhipur",
  E124="Shihor", "Shihor",
  E124="Ghogha", "Bhavnagar",
  E124="Bhavnagar", "Bhavnagar"
)</f>
        <v>Palitana</v>
      </c>
      <c r="G124" s="4" t="s">
        <v>206</v>
      </c>
      <c r="H124" s="4">
        <v>199670</v>
      </c>
      <c r="I124" s="4"/>
      <c r="J124" s="5">
        <v>45837</v>
      </c>
      <c r="K124" s="5">
        <v>45848</v>
      </c>
      <c r="L124" s="5">
        <v>45849</v>
      </c>
      <c r="M124" s="7">
        <v>2079935.08</v>
      </c>
      <c r="N124" s="7">
        <v>1907924.45</v>
      </c>
      <c r="O124" s="8">
        <v>-8.27</v>
      </c>
      <c r="P124" s="8" t="str">
        <f>IF(O124&lt;0,"Below",IF(O124&gt;0,"Above","Equals"))</f>
        <v>Below</v>
      </c>
      <c r="Q124" s="4" t="s">
        <v>342</v>
      </c>
      <c r="R124" s="5"/>
      <c r="S124" s="6"/>
      <c r="U124" s="12">
        <v>4</v>
      </c>
      <c r="V124" s="4">
        <v>1068</v>
      </c>
      <c r="W124" s="14">
        <v>45874</v>
      </c>
      <c r="X124" s="4" t="s">
        <v>50</v>
      </c>
      <c r="Y124" s="13">
        <v>127</v>
      </c>
      <c r="Z124" s="26">
        <v>45901</v>
      </c>
      <c r="AA124" s="4" t="s">
        <v>299</v>
      </c>
      <c r="AB124" s="4" t="s">
        <v>312</v>
      </c>
      <c r="AC124" s="33">
        <v>44393851886</v>
      </c>
      <c r="AD124" s="9">
        <v>96000</v>
      </c>
      <c r="AE124" s="5">
        <v>45890</v>
      </c>
      <c r="AF124" s="11"/>
      <c r="AG124" s="11"/>
      <c r="AI124" s="9"/>
      <c r="AJ124" s="11"/>
      <c r="AK124" s="4">
        <v>1234</v>
      </c>
      <c r="AL124" s="14">
        <v>45901</v>
      </c>
    </row>
    <row r="125" spans="1:38" ht="43.5">
      <c r="A125" s="4" t="s">
        <v>50</v>
      </c>
      <c r="B125" s="4">
        <v>8</v>
      </c>
      <c r="C125" s="4">
        <v>70</v>
      </c>
      <c r="D125" s="6" t="s">
        <v>452</v>
      </c>
      <c r="E125" s="4" t="s">
        <v>1</v>
      </c>
      <c r="F125" s="4" t="str" cm="1">
        <f t="array" ref="F125">_xlfn.IFS(
  E125="Mahuva", "Mahuva",
  E125="Jesar", "Mahuva",
  E125="Palitana", "Palitana",
  E125="Gariyadhar", "Palitana",
  E125="Talaja", "Talaja",
  E125="Vallabhipur", "Vallabhipur",
  E125="Umrala", "Vallabhipur",
  E125="Shihor", "Shihor",
  E125="Ghogha", "Bhavnagar",
  E125="Bhavnagar", "Bhavnagar"
)</f>
        <v>Vallabhipur</v>
      </c>
      <c r="G125" s="4" t="s">
        <v>206</v>
      </c>
      <c r="H125" s="4">
        <v>199672</v>
      </c>
      <c r="I125" s="4"/>
      <c r="J125" s="5">
        <v>45837</v>
      </c>
      <c r="K125" s="5">
        <v>45848</v>
      </c>
      <c r="L125" s="5">
        <v>45849</v>
      </c>
      <c r="M125" s="7">
        <v>2079935.08</v>
      </c>
      <c r="N125" s="7">
        <v>1869237.66</v>
      </c>
      <c r="O125" s="8">
        <v>-10.130000000000001</v>
      </c>
      <c r="P125" s="8" t="str">
        <f>IF(O125&lt;0,"Below",IF(O125&gt;0,"Above","Equals"))</f>
        <v>Below</v>
      </c>
      <c r="Q125" s="4" t="s">
        <v>343</v>
      </c>
      <c r="R125" s="5"/>
      <c r="S125" s="6"/>
      <c r="U125" s="12">
        <v>4</v>
      </c>
      <c r="V125" s="4">
        <v>1069</v>
      </c>
      <c r="W125" s="14">
        <v>45874</v>
      </c>
      <c r="X125" s="4" t="s">
        <v>50</v>
      </c>
      <c r="Y125" s="13">
        <v>243</v>
      </c>
      <c r="Z125" s="26">
        <v>46013</v>
      </c>
      <c r="AA125" s="4" t="s">
        <v>299</v>
      </c>
      <c r="AB125" s="4" t="s">
        <v>537</v>
      </c>
      <c r="AC125" s="33" t="s">
        <v>834</v>
      </c>
      <c r="AD125" s="9">
        <v>94000</v>
      </c>
      <c r="AE125" s="5">
        <v>46006</v>
      </c>
      <c r="AF125" s="4" t="s">
        <v>299</v>
      </c>
      <c r="AG125" s="4" t="s">
        <v>312</v>
      </c>
      <c r="AH125" s="33" t="s">
        <v>835</v>
      </c>
      <c r="AI125" s="9">
        <v>1000</v>
      </c>
      <c r="AJ125" s="5">
        <v>46007</v>
      </c>
      <c r="AK125" s="4">
        <v>1787</v>
      </c>
      <c r="AL125" s="14">
        <v>46013</v>
      </c>
    </row>
    <row r="126" spans="1:38" ht="43.5">
      <c r="A126" s="4" t="s">
        <v>50</v>
      </c>
      <c r="B126" s="4">
        <v>8</v>
      </c>
      <c r="C126" s="4">
        <v>71</v>
      </c>
      <c r="D126" s="6" t="s">
        <v>453</v>
      </c>
      <c r="E126" s="4" t="s">
        <v>1</v>
      </c>
      <c r="F126" s="4" t="str" cm="1">
        <f t="array" ref="F126">_xlfn.IFS(
  E126="Mahuva", "Mahuva",
  E126="Jesar", "Mahuva",
  E126="Palitana", "Palitana",
  E126="Gariyadhar", "Palitana",
  E126="Talaja", "Talaja",
  E126="Vallabhipur", "Vallabhipur",
  E126="Umrala", "Vallabhipur",
  E126="Shihor", "Shihor",
  E126="Ghogha", "Bhavnagar",
  E126="Bhavnagar", "Bhavnagar"
)</f>
        <v>Vallabhipur</v>
      </c>
      <c r="G126" s="4" t="s">
        <v>206</v>
      </c>
      <c r="H126" s="4">
        <v>199673</v>
      </c>
      <c r="I126" s="4"/>
      <c r="J126" s="5">
        <v>45837</v>
      </c>
      <c r="K126" s="5">
        <v>45848</v>
      </c>
      <c r="L126" s="5">
        <v>45849</v>
      </c>
      <c r="M126" s="7">
        <v>2079935.08</v>
      </c>
      <c r="N126" s="7">
        <v>1869653.64</v>
      </c>
      <c r="O126" s="8">
        <v>-10.11</v>
      </c>
      <c r="P126" s="8" t="str">
        <f>IF(O126&lt;0,"Below",IF(O126&gt;0,"Above","Equals"))</f>
        <v>Below</v>
      </c>
      <c r="Q126" s="4" t="s">
        <v>4</v>
      </c>
      <c r="R126" s="5"/>
      <c r="S126" s="6"/>
      <c r="U126" s="12">
        <v>4</v>
      </c>
      <c r="V126" s="4">
        <v>1070</v>
      </c>
      <c r="W126" s="14">
        <v>45874</v>
      </c>
      <c r="X126" s="4" t="s">
        <v>50</v>
      </c>
      <c r="Y126" s="13">
        <v>306</v>
      </c>
      <c r="Z126" s="26">
        <v>46069</v>
      </c>
      <c r="AA126" s="4" t="s">
        <v>299</v>
      </c>
      <c r="AB126" s="4" t="s">
        <v>312</v>
      </c>
      <c r="AC126" s="33">
        <v>44777637562</v>
      </c>
      <c r="AD126" s="9">
        <v>94000</v>
      </c>
      <c r="AE126" s="5">
        <v>46020</v>
      </c>
      <c r="AF126" s="4" t="s">
        <v>299</v>
      </c>
      <c r="AG126" s="4" t="s">
        <v>312</v>
      </c>
      <c r="AH126" s="33">
        <v>44913279603</v>
      </c>
      <c r="AI126" s="9">
        <v>1000</v>
      </c>
      <c r="AJ126" s="5">
        <v>46064</v>
      </c>
      <c r="AK126" s="4">
        <v>243</v>
      </c>
      <c r="AL126" s="14">
        <v>46069</v>
      </c>
    </row>
    <row r="127" spans="1:38" ht="43.5">
      <c r="A127" s="4" t="s">
        <v>50</v>
      </c>
      <c r="B127" s="4">
        <v>8</v>
      </c>
      <c r="C127" s="4">
        <v>72</v>
      </c>
      <c r="D127" s="6" t="s">
        <v>454</v>
      </c>
      <c r="E127" s="4" t="s">
        <v>1</v>
      </c>
      <c r="F127" s="4" t="str" cm="1">
        <f t="array" ref="F127">_xlfn.IFS(
  E127="Mahuva", "Mahuva",
  E127="Jesar", "Mahuva",
  E127="Palitana", "Palitana",
  E127="Gariyadhar", "Palitana",
  E127="Talaja", "Talaja",
  E127="Vallabhipur", "Vallabhipur",
  E127="Umrala", "Vallabhipur",
  E127="Shihor", "Shihor",
  E127="Ghogha", "Bhavnagar",
  E127="Bhavnagar", "Bhavnagar"
)</f>
        <v>Vallabhipur</v>
      </c>
      <c r="G127" s="4" t="s">
        <v>206</v>
      </c>
      <c r="H127" s="4">
        <v>199675</v>
      </c>
      <c r="I127" s="4"/>
      <c r="J127" s="5">
        <v>45837</v>
      </c>
      <c r="K127" s="5">
        <v>45848</v>
      </c>
      <c r="L127" s="5">
        <v>45849</v>
      </c>
      <c r="M127" s="7">
        <v>2079935.08</v>
      </c>
      <c r="N127" s="7">
        <v>1902932.6</v>
      </c>
      <c r="O127" s="8">
        <v>-8.51</v>
      </c>
      <c r="P127" s="8" t="str">
        <f>IF(O127&lt;0,"Below",IF(O127&gt;0,"Above","Equals"))</f>
        <v>Below</v>
      </c>
      <c r="Q127" s="4" t="s">
        <v>248</v>
      </c>
      <c r="R127" s="5"/>
      <c r="S127" s="6"/>
      <c r="U127" s="12">
        <v>4</v>
      </c>
      <c r="V127" s="4">
        <v>1071</v>
      </c>
      <c r="W127" s="14">
        <v>45874</v>
      </c>
      <c r="X127" s="4" t="s">
        <v>50</v>
      </c>
      <c r="Y127" s="13">
        <v>341</v>
      </c>
      <c r="Z127" s="26">
        <v>46108</v>
      </c>
      <c r="AA127" s="4" t="s">
        <v>299</v>
      </c>
      <c r="AB127" s="4" t="s">
        <v>312</v>
      </c>
      <c r="AC127" s="33" t="s">
        <v>1104</v>
      </c>
      <c r="AD127" s="9">
        <v>96000</v>
      </c>
      <c r="AE127" s="5">
        <v>46007</v>
      </c>
      <c r="AF127" s="11"/>
      <c r="AG127" s="11"/>
      <c r="AI127" s="9"/>
      <c r="AJ127" s="11"/>
      <c r="AK127" s="4">
        <v>424</v>
      </c>
      <c r="AL127" s="26">
        <v>46108</v>
      </c>
    </row>
    <row r="128" spans="1:38" ht="43.5">
      <c r="A128" s="4" t="s">
        <v>50</v>
      </c>
      <c r="B128" s="4">
        <v>8</v>
      </c>
      <c r="C128" s="4">
        <v>73</v>
      </c>
      <c r="D128" s="6" t="s">
        <v>455</v>
      </c>
      <c r="E128" s="4" t="s">
        <v>1</v>
      </c>
      <c r="F128" s="4" t="str" cm="1">
        <f t="array" ref="F128">_xlfn.IFS(
  E128="Mahuva", "Mahuva",
  E128="Jesar", "Mahuva",
  E128="Palitana", "Palitana",
  E128="Gariyadhar", "Palitana",
  E128="Talaja", "Talaja",
  E128="Vallabhipur", "Vallabhipur",
  E128="Umrala", "Vallabhipur",
  E128="Shihor", "Shihor",
  E128="Ghogha", "Bhavnagar",
  E128="Bhavnagar", "Bhavnagar"
)</f>
        <v>Vallabhipur</v>
      </c>
      <c r="G128" s="4" t="s">
        <v>206</v>
      </c>
      <c r="H128" s="4">
        <v>199677</v>
      </c>
      <c r="I128" s="4"/>
      <c r="J128" s="5">
        <v>45837</v>
      </c>
      <c r="K128" s="5">
        <v>45848</v>
      </c>
      <c r="L128" s="5">
        <v>45849</v>
      </c>
      <c r="M128" s="7">
        <v>2079935.08</v>
      </c>
      <c r="N128" s="7">
        <v>1785832.26</v>
      </c>
      <c r="O128" s="8">
        <v>-14.14</v>
      </c>
      <c r="P128" s="8" t="str">
        <f>IF(O128&lt;0,"Below",IF(O128&gt;0,"Above","Equals"))</f>
        <v>Below</v>
      </c>
      <c r="Q128" s="4" t="s">
        <v>4</v>
      </c>
      <c r="R128" s="5"/>
      <c r="S128" s="6"/>
      <c r="U128" s="12">
        <v>4</v>
      </c>
      <c r="V128" s="4">
        <v>1072</v>
      </c>
      <c r="W128" s="14">
        <v>45874</v>
      </c>
      <c r="X128" s="4" t="s">
        <v>50</v>
      </c>
      <c r="Y128" s="13">
        <v>307</v>
      </c>
      <c r="Z128" s="26">
        <v>46069</v>
      </c>
      <c r="AA128" s="4" t="s">
        <v>299</v>
      </c>
      <c r="AB128" s="4" t="s">
        <v>312</v>
      </c>
      <c r="AC128" s="33">
        <v>44777661095</v>
      </c>
      <c r="AD128" s="9">
        <v>90000</v>
      </c>
      <c r="AE128" s="5">
        <v>46020</v>
      </c>
      <c r="AF128" s="4" t="s">
        <v>299</v>
      </c>
      <c r="AG128" s="4" t="s">
        <v>312</v>
      </c>
      <c r="AH128" s="33">
        <v>44913196409</v>
      </c>
      <c r="AI128" s="9">
        <v>18000</v>
      </c>
      <c r="AJ128" s="5">
        <v>46064</v>
      </c>
      <c r="AK128" s="4">
        <v>244</v>
      </c>
      <c r="AL128" s="14">
        <v>46069</v>
      </c>
    </row>
    <row r="129" spans="1:38" ht="43.5">
      <c r="A129" s="4" t="s">
        <v>50</v>
      </c>
      <c r="B129" s="4">
        <v>8</v>
      </c>
      <c r="C129" s="4">
        <v>74</v>
      </c>
      <c r="D129" s="6" t="s">
        <v>456</v>
      </c>
      <c r="E129" s="4" t="s">
        <v>1</v>
      </c>
      <c r="F129" s="4" t="str" cm="1">
        <f t="array" ref="F129">_xlfn.IFS(
  E129="Mahuva", "Mahuva",
  E129="Jesar", "Mahuva",
  E129="Palitana", "Palitana",
  E129="Gariyadhar", "Palitana",
  E129="Talaja", "Talaja",
  E129="Vallabhipur", "Vallabhipur",
  E129="Umrala", "Vallabhipur",
  E129="Shihor", "Shihor",
  E129="Ghogha", "Bhavnagar",
  E129="Bhavnagar", "Bhavnagar"
)</f>
        <v>Vallabhipur</v>
      </c>
      <c r="G129" s="4" t="s">
        <v>206</v>
      </c>
      <c r="H129" s="4">
        <v>199678</v>
      </c>
      <c r="I129" s="4"/>
      <c r="J129" s="5">
        <v>45837</v>
      </c>
      <c r="K129" s="5">
        <v>45848</v>
      </c>
      <c r="L129" s="5">
        <v>45849</v>
      </c>
      <c r="M129" s="7">
        <v>2079935.08</v>
      </c>
      <c r="N129" s="7">
        <v>1827846.95</v>
      </c>
      <c r="O129" s="8">
        <v>-12.12</v>
      </c>
      <c r="P129" s="8" t="str">
        <f>IF(O129&lt;0,"Below",IF(O129&gt;0,"Above","Equals"))</f>
        <v>Below</v>
      </c>
      <c r="Q129" s="4" t="s">
        <v>4</v>
      </c>
      <c r="R129" s="5"/>
      <c r="S129" s="6"/>
      <c r="U129" s="12">
        <v>4</v>
      </c>
      <c r="V129" s="4">
        <v>1123</v>
      </c>
      <c r="W129" s="14">
        <v>45877</v>
      </c>
      <c r="X129" s="4" t="s">
        <v>50</v>
      </c>
      <c r="Y129" s="13">
        <v>308</v>
      </c>
      <c r="Z129" s="26">
        <v>46069</v>
      </c>
      <c r="AA129" s="4" t="s">
        <v>299</v>
      </c>
      <c r="AB129" s="4" t="s">
        <v>312</v>
      </c>
      <c r="AC129" s="33">
        <v>44777679749</v>
      </c>
      <c r="AD129" s="9">
        <v>92000</v>
      </c>
      <c r="AE129" s="5">
        <v>46020</v>
      </c>
      <c r="AF129" s="4" t="s">
        <v>299</v>
      </c>
      <c r="AG129" s="4" t="s">
        <v>312</v>
      </c>
      <c r="AH129" s="33">
        <v>44913235112</v>
      </c>
      <c r="AI129" s="9">
        <v>9000</v>
      </c>
      <c r="AJ129" s="5">
        <v>46064</v>
      </c>
      <c r="AK129" s="4">
        <v>245</v>
      </c>
      <c r="AL129" s="14">
        <v>46069</v>
      </c>
    </row>
    <row r="130" spans="1:38" ht="43.5">
      <c r="A130" s="4" t="s">
        <v>50</v>
      </c>
      <c r="B130" s="4">
        <v>8</v>
      </c>
      <c r="C130" s="4">
        <v>76</v>
      </c>
      <c r="D130" s="6" t="s">
        <v>457</v>
      </c>
      <c r="E130" s="4" t="s">
        <v>1</v>
      </c>
      <c r="F130" s="4" t="str" cm="1">
        <f t="array" ref="F130">_xlfn.IFS(
  E130="Mahuva", "Mahuva",
  E130="Jesar", "Mahuva",
  E130="Palitana", "Palitana",
  E130="Gariyadhar", "Palitana",
  E130="Talaja", "Talaja",
  E130="Vallabhipur", "Vallabhipur",
  E130="Umrala", "Vallabhipur",
  E130="Shihor", "Shihor",
  E130="Ghogha", "Bhavnagar",
  E130="Bhavnagar", "Bhavnagar"
)</f>
        <v>Vallabhipur</v>
      </c>
      <c r="G130" s="4" t="s">
        <v>206</v>
      </c>
      <c r="H130" s="4">
        <v>199680</v>
      </c>
      <c r="I130" s="4"/>
      <c r="J130" s="5">
        <v>45837</v>
      </c>
      <c r="K130" s="5">
        <v>45848</v>
      </c>
      <c r="L130" s="5">
        <v>45849</v>
      </c>
      <c r="M130" s="7">
        <v>2079935.08</v>
      </c>
      <c r="N130" s="7">
        <v>1786248.25</v>
      </c>
      <c r="O130" s="8">
        <v>-14.12</v>
      </c>
      <c r="P130" s="8" t="str">
        <f>IF(O130&lt;0,"Below",IF(O130&gt;0,"Above","Equals"))</f>
        <v>Below</v>
      </c>
      <c r="Q130" s="4" t="s">
        <v>4</v>
      </c>
      <c r="R130" s="5"/>
      <c r="S130" s="6"/>
      <c r="U130" s="12">
        <v>4</v>
      </c>
      <c r="V130" s="4">
        <v>1111</v>
      </c>
      <c r="W130" s="14">
        <v>45877</v>
      </c>
      <c r="X130" s="4" t="s">
        <v>50</v>
      </c>
      <c r="Y130" s="13">
        <v>166</v>
      </c>
      <c r="Z130" s="14">
        <v>45931</v>
      </c>
      <c r="AA130" s="4" t="s">
        <v>299</v>
      </c>
      <c r="AB130" s="4" t="s">
        <v>312</v>
      </c>
      <c r="AC130" s="33">
        <v>44480666780</v>
      </c>
      <c r="AD130" s="9">
        <v>90000</v>
      </c>
      <c r="AE130" s="5">
        <v>45918</v>
      </c>
      <c r="AF130" s="11"/>
      <c r="AG130" s="11"/>
      <c r="AI130" s="9"/>
      <c r="AJ130" s="11"/>
      <c r="AK130" s="4">
        <v>1407</v>
      </c>
      <c r="AL130" s="14">
        <v>45931</v>
      </c>
    </row>
    <row r="131" spans="1:38" ht="43.5">
      <c r="A131" s="4" t="s">
        <v>50</v>
      </c>
      <c r="B131" s="4">
        <v>8</v>
      </c>
      <c r="C131" s="4">
        <v>77</v>
      </c>
      <c r="D131" s="6" t="s">
        <v>458</v>
      </c>
      <c r="E131" s="4" t="s">
        <v>1</v>
      </c>
      <c r="F131" s="4" t="str" cm="1">
        <f t="array" ref="F131">_xlfn.IFS(
  E131="Mahuva", "Mahuva",
  E131="Jesar", "Mahuva",
  E131="Palitana", "Palitana",
  E131="Gariyadhar", "Palitana",
  E131="Talaja", "Talaja",
  E131="Vallabhipur", "Vallabhipur",
  E131="Umrala", "Vallabhipur",
  E131="Shihor", "Shihor",
  E131="Ghogha", "Bhavnagar",
  E131="Bhavnagar", "Bhavnagar"
)</f>
        <v>Vallabhipur</v>
      </c>
      <c r="G131" s="4" t="s">
        <v>206</v>
      </c>
      <c r="H131" s="4">
        <v>199681</v>
      </c>
      <c r="I131" s="4"/>
      <c r="J131" s="5">
        <v>45837</v>
      </c>
      <c r="K131" s="5">
        <v>45848</v>
      </c>
      <c r="L131" s="5">
        <v>45849</v>
      </c>
      <c r="M131" s="7">
        <v>2079935.08</v>
      </c>
      <c r="N131" s="7">
        <v>1872149.57</v>
      </c>
      <c r="O131" s="8">
        <v>-9.99</v>
      </c>
      <c r="P131" s="8" t="str">
        <f>IF(O131&lt;0,"Below",IF(O131&gt;0,"Above","Equals"))</f>
        <v>Below</v>
      </c>
      <c r="Q131" s="4" t="s">
        <v>248</v>
      </c>
      <c r="R131" s="5"/>
      <c r="S131" s="6"/>
      <c r="U131" s="12">
        <v>4</v>
      </c>
      <c r="V131" s="4">
        <v>1112</v>
      </c>
      <c r="W131" s="14">
        <v>45877</v>
      </c>
      <c r="X131" s="4" t="s">
        <v>50</v>
      </c>
      <c r="Y131" s="13">
        <v>342</v>
      </c>
      <c r="Z131" s="26">
        <v>46108</v>
      </c>
      <c r="AA131" s="4" t="s">
        <v>299</v>
      </c>
      <c r="AB131" s="4" t="s">
        <v>312</v>
      </c>
      <c r="AC131" s="33" t="s">
        <v>1105</v>
      </c>
      <c r="AD131" s="9">
        <v>94000</v>
      </c>
      <c r="AE131" s="5">
        <v>46007</v>
      </c>
      <c r="AF131" s="11"/>
      <c r="AG131" s="11"/>
      <c r="AI131" s="9"/>
      <c r="AJ131" s="11"/>
      <c r="AK131" s="4">
        <v>425</v>
      </c>
      <c r="AL131" s="26">
        <v>46108</v>
      </c>
    </row>
    <row r="132" spans="1:38" ht="43.5">
      <c r="A132" s="4" t="s">
        <v>50</v>
      </c>
      <c r="B132" s="4">
        <v>8</v>
      </c>
      <c r="C132" s="4">
        <v>78</v>
      </c>
      <c r="D132" s="6" t="s">
        <v>412</v>
      </c>
      <c r="E132" s="4" t="s">
        <v>11</v>
      </c>
      <c r="F132" s="4" t="str" cm="1">
        <f t="array" ref="F132">_xlfn.IFS(
  E132="Mahuva", "Mahuva",
  E132="Jesar", "Mahuva",
  E132="Palitana", "Palitana",
  E132="Gariyadhar", "Palitana",
  E132="Talaja", "Talaja",
  E132="Vallabhipur", "Vallabhipur",
  E132="Umrala", "Vallabhipur",
  E132="Shihor", "Shihor",
  E132="Ghogha", "Bhavnagar",
  E132="Bhavnagar", "Bhavnagar"
)</f>
        <v>Shihor</v>
      </c>
      <c r="G132" s="4" t="s">
        <v>206</v>
      </c>
      <c r="H132" s="4">
        <v>199683</v>
      </c>
      <c r="I132" s="4">
        <v>1</v>
      </c>
      <c r="J132" s="5">
        <v>45837</v>
      </c>
      <c r="K132" s="5">
        <v>45848</v>
      </c>
      <c r="L132" s="5">
        <v>45849</v>
      </c>
      <c r="M132" s="7">
        <v>2079935.08</v>
      </c>
      <c r="N132" s="7">
        <v>1955346.97</v>
      </c>
      <c r="O132" s="8">
        <v>-5.99</v>
      </c>
      <c r="P132" s="8" t="str">
        <f>IF(O132&lt;0,"Below",IF(O132&gt;0,"Above","Equals"))</f>
        <v>Below</v>
      </c>
      <c r="Q132" s="4" t="s">
        <v>344</v>
      </c>
      <c r="R132" s="5"/>
      <c r="S132" s="6"/>
      <c r="U132" s="12">
        <v>4</v>
      </c>
      <c r="V132" s="4">
        <v>1063</v>
      </c>
      <c r="W132" s="14">
        <v>45873</v>
      </c>
      <c r="X132" s="4" t="s">
        <v>50</v>
      </c>
      <c r="Y132" s="13">
        <v>86</v>
      </c>
      <c r="Z132" s="26">
        <v>45887</v>
      </c>
      <c r="AA132" s="4" t="s">
        <v>299</v>
      </c>
      <c r="AB132" s="4" t="s">
        <v>312</v>
      </c>
      <c r="AC132" s="33" t="s">
        <v>544</v>
      </c>
      <c r="AD132" s="9">
        <v>98000</v>
      </c>
      <c r="AE132" s="5">
        <v>45880</v>
      </c>
      <c r="AF132" s="11"/>
      <c r="AG132" s="11"/>
      <c r="AI132" s="9"/>
      <c r="AJ132" s="11"/>
      <c r="AK132" s="4">
        <v>1165</v>
      </c>
      <c r="AL132" s="14">
        <v>45887</v>
      </c>
    </row>
    <row r="133" spans="1:38" ht="43.5">
      <c r="A133" s="4" t="s">
        <v>50</v>
      </c>
      <c r="B133" s="4">
        <v>8</v>
      </c>
      <c r="C133" s="4">
        <v>79</v>
      </c>
      <c r="D133" s="6" t="s">
        <v>459</v>
      </c>
      <c r="E133" s="4" t="s">
        <v>11</v>
      </c>
      <c r="F133" s="4" t="str" cm="1">
        <f t="array" ref="F133">_xlfn.IFS(
  E133="Mahuva", "Mahuva",
  E133="Jesar", "Mahuva",
  E133="Palitana", "Palitana",
  E133="Gariyadhar", "Palitana",
  E133="Talaja", "Talaja",
  E133="Vallabhipur", "Vallabhipur",
  E133="Umrala", "Vallabhipur",
  E133="Shihor", "Shihor",
  E133="Ghogha", "Bhavnagar",
  E133="Bhavnagar", "Bhavnagar"
)</f>
        <v>Shihor</v>
      </c>
      <c r="G133" s="4" t="s">
        <v>206</v>
      </c>
      <c r="H133" s="4">
        <v>199684</v>
      </c>
      <c r="I133" s="4"/>
      <c r="J133" s="5">
        <v>45837</v>
      </c>
      <c r="K133" s="5">
        <v>45848</v>
      </c>
      <c r="L133" s="5">
        <v>45849</v>
      </c>
      <c r="M133" s="7">
        <v>2079935.08</v>
      </c>
      <c r="N133" s="7">
        <v>1955346.97</v>
      </c>
      <c r="O133" s="8">
        <v>-5.99</v>
      </c>
      <c r="P133" s="8" t="str">
        <f>IF(O133&lt;0,"Below",IF(O133&gt;0,"Above","Equals"))</f>
        <v>Below</v>
      </c>
      <c r="Q133" s="4" t="s">
        <v>242</v>
      </c>
      <c r="R133" s="5"/>
      <c r="S133" s="6"/>
      <c r="U133" s="12">
        <v>4</v>
      </c>
      <c r="V133" s="4">
        <v>1113</v>
      </c>
      <c r="W133" s="14">
        <v>45877</v>
      </c>
      <c r="X133" s="4" t="s">
        <v>50</v>
      </c>
      <c r="Y133" s="13">
        <v>163</v>
      </c>
      <c r="Z133" s="26">
        <v>45931</v>
      </c>
      <c r="AA133" s="4" t="s">
        <v>299</v>
      </c>
      <c r="AB133" s="4" t="s">
        <v>300</v>
      </c>
      <c r="AC133" s="33">
        <v>78049121883</v>
      </c>
      <c r="AD133" s="9">
        <v>98000</v>
      </c>
      <c r="AE133" s="5">
        <v>45898</v>
      </c>
      <c r="AF133" s="11"/>
      <c r="AG133" s="11"/>
      <c r="AI133" s="9"/>
      <c r="AJ133" s="11"/>
      <c r="AK133" s="4">
        <v>1404</v>
      </c>
      <c r="AL133" s="14">
        <v>45931</v>
      </c>
    </row>
    <row r="134" spans="1:38" ht="43.5">
      <c r="A134" s="4" t="s">
        <v>50</v>
      </c>
      <c r="B134" s="4">
        <v>8</v>
      </c>
      <c r="C134" s="4">
        <v>81</v>
      </c>
      <c r="D134" s="6" t="s">
        <v>460</v>
      </c>
      <c r="E134" s="4" t="s">
        <v>11</v>
      </c>
      <c r="F134" s="4" t="str" cm="1">
        <f t="array" ref="F134">_xlfn.IFS(
  E134="Mahuva", "Mahuva",
  E134="Jesar", "Mahuva",
  E134="Palitana", "Palitana",
  E134="Gariyadhar", "Palitana",
  E134="Talaja", "Talaja",
  E134="Vallabhipur", "Vallabhipur",
  E134="Umrala", "Vallabhipur",
  E134="Shihor", "Shihor",
  E134="Ghogha", "Bhavnagar",
  E134="Bhavnagar", "Bhavnagar"
)</f>
        <v>Shihor</v>
      </c>
      <c r="G134" s="4" t="s">
        <v>206</v>
      </c>
      <c r="H134" s="4">
        <v>199694</v>
      </c>
      <c r="I134" s="4"/>
      <c r="J134" s="5">
        <v>45837</v>
      </c>
      <c r="K134" s="5">
        <v>45848</v>
      </c>
      <c r="L134" s="5">
        <v>45849</v>
      </c>
      <c r="M134" s="7">
        <v>2079935.08</v>
      </c>
      <c r="N134" s="7">
        <v>1966578.62</v>
      </c>
      <c r="O134" s="8">
        <v>-5.45</v>
      </c>
      <c r="P134" s="8" t="str">
        <f>IF(O134&lt;0,"Below",IF(O134&gt;0,"Above","Equals"))</f>
        <v>Below</v>
      </c>
      <c r="Q134" s="4" t="s">
        <v>345</v>
      </c>
      <c r="R134" s="5"/>
      <c r="S134" s="6"/>
      <c r="U134" s="12">
        <v>4</v>
      </c>
      <c r="V134" s="4">
        <v>1100</v>
      </c>
      <c r="W134" s="14">
        <v>45877</v>
      </c>
      <c r="X134" s="4" t="s">
        <v>50</v>
      </c>
      <c r="Y134" s="13">
        <v>164</v>
      </c>
      <c r="Z134" s="26">
        <v>45931</v>
      </c>
      <c r="AA134" s="4" t="s">
        <v>299</v>
      </c>
      <c r="AB134" s="4" t="s">
        <v>306</v>
      </c>
      <c r="AC134" s="33" t="s">
        <v>693</v>
      </c>
      <c r="AD134" s="9">
        <v>99100</v>
      </c>
      <c r="AE134" s="5">
        <v>45897</v>
      </c>
      <c r="AF134" s="11"/>
      <c r="AG134" s="11"/>
      <c r="AI134" s="9"/>
      <c r="AJ134" s="11"/>
      <c r="AK134" s="4">
        <v>1405</v>
      </c>
      <c r="AL134" s="14">
        <v>45931</v>
      </c>
    </row>
    <row r="135" spans="1:38" ht="43.5">
      <c r="A135" s="4" t="s">
        <v>50</v>
      </c>
      <c r="B135" s="4">
        <v>8</v>
      </c>
      <c r="C135" s="4">
        <v>82</v>
      </c>
      <c r="D135" s="6" t="s">
        <v>461</v>
      </c>
      <c r="E135" s="4" t="s">
        <v>11</v>
      </c>
      <c r="F135" s="4" t="str" cm="1">
        <f t="array" ref="F135">_xlfn.IFS(
  E135="Mahuva", "Mahuva",
  E135="Jesar", "Mahuva",
  E135="Palitana", "Palitana",
  E135="Gariyadhar", "Palitana",
  E135="Talaja", "Talaja",
  E135="Vallabhipur", "Vallabhipur",
  E135="Umrala", "Vallabhipur",
  E135="Shihor", "Shihor",
  E135="Ghogha", "Bhavnagar",
  E135="Bhavnagar", "Bhavnagar"
)</f>
        <v>Shihor</v>
      </c>
      <c r="G135" s="4" t="s">
        <v>206</v>
      </c>
      <c r="H135" s="4">
        <v>199695</v>
      </c>
      <c r="I135" s="4"/>
      <c r="J135" s="5">
        <v>45837</v>
      </c>
      <c r="K135" s="5">
        <v>45848</v>
      </c>
      <c r="L135" s="5">
        <v>45849</v>
      </c>
      <c r="M135" s="7">
        <v>2079935.08</v>
      </c>
      <c r="N135" s="7">
        <v>2027312.72</v>
      </c>
      <c r="O135" s="8">
        <v>-2.5299999999999998</v>
      </c>
      <c r="P135" s="8" t="str">
        <f>IF(O135&lt;0,"Below",IF(O135&gt;0,"Above","Equals"))</f>
        <v>Below</v>
      </c>
      <c r="Q135" s="4" t="s">
        <v>346</v>
      </c>
      <c r="R135" s="5"/>
      <c r="S135" s="6"/>
      <c r="U135" s="12">
        <v>4</v>
      </c>
      <c r="V135" s="4">
        <v>1107</v>
      </c>
      <c r="W135" s="14">
        <v>45877</v>
      </c>
      <c r="X135" s="4" t="s">
        <v>50</v>
      </c>
      <c r="Y135" s="13">
        <v>142</v>
      </c>
      <c r="Z135" s="26">
        <v>45902</v>
      </c>
      <c r="AA135" s="4" t="s">
        <v>299</v>
      </c>
      <c r="AB135" s="4" t="s">
        <v>541</v>
      </c>
      <c r="AC135" s="33" t="s">
        <v>634</v>
      </c>
      <c r="AD135" s="9">
        <v>102000</v>
      </c>
      <c r="AE135" s="5">
        <v>45891</v>
      </c>
      <c r="AF135" s="11"/>
      <c r="AG135" s="11"/>
      <c r="AI135" s="9"/>
      <c r="AJ135" s="11"/>
      <c r="AK135" s="4">
        <v>1253</v>
      </c>
      <c r="AL135" s="14">
        <v>45902</v>
      </c>
    </row>
    <row r="136" spans="1:38" ht="43.5">
      <c r="A136" s="4" t="s">
        <v>50</v>
      </c>
      <c r="B136" s="4">
        <v>8</v>
      </c>
      <c r="C136" s="4">
        <v>83</v>
      </c>
      <c r="D136" s="6" t="s">
        <v>462</v>
      </c>
      <c r="E136" s="4" t="s">
        <v>11</v>
      </c>
      <c r="F136" s="4" t="str" cm="1">
        <f t="array" ref="F136">_xlfn.IFS(
  E136="Mahuva", "Mahuva",
  E136="Jesar", "Mahuva",
  E136="Palitana", "Palitana",
  E136="Gariyadhar", "Palitana",
  E136="Talaja", "Talaja",
  E136="Vallabhipur", "Vallabhipur",
  E136="Umrala", "Vallabhipur",
  E136="Shihor", "Shihor",
  E136="Ghogha", "Bhavnagar",
  E136="Bhavnagar", "Bhavnagar"
)</f>
        <v>Shihor</v>
      </c>
      <c r="G136" s="4" t="s">
        <v>206</v>
      </c>
      <c r="H136" s="4">
        <v>199696</v>
      </c>
      <c r="I136" s="4"/>
      <c r="J136" s="5">
        <v>45837</v>
      </c>
      <c r="K136" s="5">
        <v>45848</v>
      </c>
      <c r="L136" s="5">
        <v>45849</v>
      </c>
      <c r="M136" s="7">
        <v>2079935.08</v>
      </c>
      <c r="N136" s="7">
        <v>1968034.57</v>
      </c>
      <c r="O136" s="8">
        <v>-5.38</v>
      </c>
      <c r="P136" s="8" t="str">
        <f>IF(O136&lt;0,"Below",IF(O136&gt;0,"Above","Equals"))</f>
        <v>Below</v>
      </c>
      <c r="Q136" s="4" t="s">
        <v>345</v>
      </c>
      <c r="R136" s="5"/>
      <c r="S136" s="6"/>
      <c r="U136" s="12">
        <v>4</v>
      </c>
      <c r="V136" s="4">
        <v>1106</v>
      </c>
      <c r="W136" s="14">
        <v>45877</v>
      </c>
      <c r="X136" s="4" t="s">
        <v>50</v>
      </c>
      <c r="Y136" s="13">
        <v>165</v>
      </c>
      <c r="Z136" s="26">
        <v>45931</v>
      </c>
      <c r="AA136" s="4" t="s">
        <v>299</v>
      </c>
      <c r="AB136" s="4" t="s">
        <v>306</v>
      </c>
      <c r="AC136" s="33" t="s">
        <v>694</v>
      </c>
      <c r="AD136" s="9">
        <v>99100</v>
      </c>
      <c r="AE136" s="5">
        <v>45897</v>
      </c>
      <c r="AF136" s="11"/>
      <c r="AG136" s="11"/>
      <c r="AI136" s="9"/>
      <c r="AJ136" s="11"/>
      <c r="AK136" s="4">
        <v>1406</v>
      </c>
      <c r="AL136" s="14">
        <v>45931</v>
      </c>
    </row>
    <row r="137" spans="1:38" ht="43.5">
      <c r="A137" s="4" t="s">
        <v>50</v>
      </c>
      <c r="B137" s="4">
        <v>8</v>
      </c>
      <c r="C137" s="4">
        <v>85</v>
      </c>
      <c r="D137" s="6" t="s">
        <v>463</v>
      </c>
      <c r="E137" s="4" t="s">
        <v>11</v>
      </c>
      <c r="F137" s="4" t="str" cm="1">
        <f t="array" ref="F137">_xlfn.IFS(
  E137="Mahuva", "Mahuva",
  E137="Jesar", "Mahuva",
  E137="Palitana", "Palitana",
  E137="Gariyadhar", "Palitana",
  E137="Talaja", "Talaja",
  E137="Vallabhipur", "Vallabhipur",
  E137="Umrala", "Vallabhipur",
  E137="Shihor", "Shihor",
  E137="Ghogha", "Bhavnagar",
  E137="Bhavnagar", "Bhavnagar"
)</f>
        <v>Shihor</v>
      </c>
      <c r="G137" s="4" t="s">
        <v>206</v>
      </c>
      <c r="H137" s="4">
        <v>199699</v>
      </c>
      <c r="I137" s="4"/>
      <c r="J137" s="5">
        <v>45837</v>
      </c>
      <c r="K137" s="5">
        <v>45848</v>
      </c>
      <c r="L137" s="5">
        <v>45849</v>
      </c>
      <c r="M137" s="7">
        <v>2079935.08</v>
      </c>
      <c r="N137" s="7">
        <v>1907924.45</v>
      </c>
      <c r="O137" s="8">
        <v>-8.27</v>
      </c>
      <c r="P137" s="8" t="str">
        <f>IF(O137&lt;0,"Below",IF(O137&gt;0,"Above","Equals"))</f>
        <v>Below</v>
      </c>
      <c r="Q137" s="4" t="s">
        <v>342</v>
      </c>
      <c r="R137" s="5"/>
      <c r="S137" s="6"/>
      <c r="U137" s="12">
        <v>4</v>
      </c>
      <c r="V137" s="4">
        <v>1108</v>
      </c>
      <c r="W137" s="14">
        <v>45877</v>
      </c>
      <c r="X137" s="4" t="s">
        <v>50</v>
      </c>
      <c r="Y137" s="13">
        <v>128</v>
      </c>
      <c r="Z137" s="26">
        <v>45901</v>
      </c>
      <c r="AA137" s="4" t="s">
        <v>299</v>
      </c>
      <c r="AB137" s="4" t="s">
        <v>312</v>
      </c>
      <c r="AC137" s="33">
        <v>44393949350</v>
      </c>
      <c r="AD137" s="9">
        <v>96000</v>
      </c>
      <c r="AE137" s="5">
        <v>45890</v>
      </c>
      <c r="AF137" s="11"/>
      <c r="AG137" s="11"/>
      <c r="AI137" s="9"/>
      <c r="AJ137" s="11"/>
      <c r="AK137" s="4">
        <v>1235</v>
      </c>
      <c r="AL137" s="14">
        <v>45901</v>
      </c>
    </row>
    <row r="138" spans="1:38" ht="43.5">
      <c r="A138" s="4" t="s">
        <v>50</v>
      </c>
      <c r="B138" s="4">
        <v>8</v>
      </c>
      <c r="C138" s="4">
        <v>87</v>
      </c>
      <c r="D138" s="6" t="s">
        <v>464</v>
      </c>
      <c r="E138" s="4" t="s">
        <v>11</v>
      </c>
      <c r="F138" s="4" t="str" cm="1">
        <f t="array" ref="F138">_xlfn.IFS(
  E138="Mahuva", "Mahuva",
  E138="Jesar", "Mahuva",
  E138="Palitana", "Palitana",
  E138="Gariyadhar", "Palitana",
  E138="Talaja", "Talaja",
  E138="Vallabhipur", "Vallabhipur",
  E138="Umrala", "Vallabhipur",
  E138="Shihor", "Shihor",
  E138="Ghogha", "Bhavnagar",
  E138="Bhavnagar", "Bhavnagar"
)</f>
        <v>Shihor</v>
      </c>
      <c r="G138" s="4" t="s">
        <v>206</v>
      </c>
      <c r="H138" s="4">
        <v>199701</v>
      </c>
      <c r="I138" s="4"/>
      <c r="J138" s="5">
        <v>45837</v>
      </c>
      <c r="K138" s="5">
        <v>45848</v>
      </c>
      <c r="L138" s="5">
        <v>45849</v>
      </c>
      <c r="M138" s="7">
        <v>2079935.08</v>
      </c>
      <c r="N138" s="7">
        <v>1944531.31</v>
      </c>
      <c r="O138" s="8">
        <v>-6.51</v>
      </c>
      <c r="P138" s="8" t="str">
        <f>IF(O138&lt;0,"Below",IF(O138&gt;0,"Above","Equals"))</f>
        <v>Below</v>
      </c>
      <c r="Q138" s="4" t="s">
        <v>229</v>
      </c>
      <c r="R138" s="5"/>
      <c r="S138" s="6"/>
      <c r="U138" s="12">
        <v>4</v>
      </c>
      <c r="V138" s="4">
        <v>1095</v>
      </c>
      <c r="W138" s="14">
        <v>45877</v>
      </c>
      <c r="X138" s="4" t="s">
        <v>50</v>
      </c>
      <c r="Y138" s="13">
        <v>99</v>
      </c>
      <c r="Z138" s="26">
        <v>45887</v>
      </c>
      <c r="AA138" s="4" t="s">
        <v>299</v>
      </c>
      <c r="AB138" s="4" t="s">
        <v>300</v>
      </c>
      <c r="AC138" s="33">
        <v>78048990945</v>
      </c>
      <c r="AD138" s="9">
        <v>98000</v>
      </c>
      <c r="AE138" s="5">
        <v>45887</v>
      </c>
      <c r="AF138" s="11"/>
      <c r="AG138" s="11"/>
      <c r="AI138" s="9"/>
      <c r="AJ138" s="11"/>
      <c r="AK138" s="4">
        <v>1179</v>
      </c>
      <c r="AL138" s="14">
        <v>45887</v>
      </c>
    </row>
    <row r="139" spans="1:38" ht="43.5">
      <c r="A139" s="4" t="s">
        <v>50</v>
      </c>
      <c r="B139" s="4">
        <v>8</v>
      </c>
      <c r="C139" s="4">
        <v>89</v>
      </c>
      <c r="D139" s="6" t="s">
        <v>465</v>
      </c>
      <c r="E139" s="4" t="s">
        <v>355</v>
      </c>
      <c r="F139" s="4" t="str" cm="1">
        <f t="array" ref="F139">_xlfn.IFS(
  E139="Mahuva", "Mahuva",
  E139="Jesar", "Mahuva",
  E139="Palitana", "Palitana",
  E139="Gariyadhar", "Palitana",
  E139="Talaja", "Talaja",
  E139="Vallabhipur", "Vallabhipur",
  E139="Umrala", "Vallabhipur",
  E139="Shihor", "Shihor",
  E139="Ghogha", "Bhavnagar",
  E139="Bhavnagar", "Bhavnagar"
)</f>
        <v>Shihor</v>
      </c>
      <c r="G139" s="4" t="s">
        <v>206</v>
      </c>
      <c r="H139" s="4">
        <v>199704</v>
      </c>
      <c r="I139" s="4"/>
      <c r="J139" s="5">
        <v>45837</v>
      </c>
      <c r="K139" s="5">
        <v>45848</v>
      </c>
      <c r="L139" s="5">
        <v>45849</v>
      </c>
      <c r="M139" s="7">
        <v>2079935.08</v>
      </c>
      <c r="N139" s="7">
        <v>1951395.09</v>
      </c>
      <c r="O139" s="8">
        <v>-6.18</v>
      </c>
      <c r="P139" s="8" t="str">
        <f>IF(O139&lt;0,"Below",IF(O139&gt;0,"Above","Equals"))</f>
        <v>Below</v>
      </c>
      <c r="Q139" s="4" t="s">
        <v>127</v>
      </c>
      <c r="R139" s="5"/>
      <c r="S139" s="6"/>
      <c r="U139" s="12">
        <v>4</v>
      </c>
      <c r="V139" s="4">
        <v>1098</v>
      </c>
      <c r="W139" s="14">
        <v>45877</v>
      </c>
      <c r="X139" s="4" t="s">
        <v>50</v>
      </c>
      <c r="Y139" s="13">
        <v>148</v>
      </c>
      <c r="Z139" s="26">
        <v>45910</v>
      </c>
      <c r="AA139" s="4" t="s">
        <v>299</v>
      </c>
      <c r="AB139" s="4" t="s">
        <v>647</v>
      </c>
      <c r="AC139" s="33" t="s">
        <v>648</v>
      </c>
      <c r="AD139" s="9">
        <v>98000</v>
      </c>
      <c r="AE139" s="5">
        <v>45897</v>
      </c>
      <c r="AF139" s="11"/>
      <c r="AG139" s="11"/>
      <c r="AI139" s="9"/>
      <c r="AJ139" s="11"/>
      <c r="AK139" s="4">
        <v>1292</v>
      </c>
      <c r="AL139" s="14">
        <v>45910</v>
      </c>
    </row>
    <row r="140" spans="1:38" ht="43.5">
      <c r="A140" s="4" t="s">
        <v>50</v>
      </c>
      <c r="B140" s="4">
        <v>8</v>
      </c>
      <c r="C140" s="4">
        <v>90</v>
      </c>
      <c r="D140" s="6" t="s">
        <v>413</v>
      </c>
      <c r="E140" s="4" t="s">
        <v>11</v>
      </c>
      <c r="F140" s="4" t="str" cm="1">
        <f t="array" ref="F140">_xlfn.IFS(
  E140="Mahuva", "Mahuva",
  E140="Jesar", "Mahuva",
  E140="Palitana", "Palitana",
  E140="Gariyadhar", "Palitana",
  E140="Talaja", "Talaja",
  E140="Vallabhipur", "Vallabhipur",
  E140="Umrala", "Vallabhipur",
  E140="Shihor", "Shihor",
  E140="Ghogha", "Bhavnagar",
  E140="Bhavnagar", "Bhavnagar"
)</f>
        <v>Shihor</v>
      </c>
      <c r="G140" s="4" t="s">
        <v>206</v>
      </c>
      <c r="H140" s="4">
        <v>199706</v>
      </c>
      <c r="I140" s="4">
        <v>1</v>
      </c>
      <c r="J140" s="5">
        <v>45837</v>
      </c>
      <c r="K140" s="5">
        <v>45848</v>
      </c>
      <c r="L140" s="5">
        <v>45849</v>
      </c>
      <c r="M140" s="7">
        <v>2079935.08</v>
      </c>
      <c r="N140" s="7">
        <v>1915620.21</v>
      </c>
      <c r="O140" s="8">
        <v>-7.9</v>
      </c>
      <c r="P140" s="8" t="str">
        <f>IF(O140&lt;0,"Below",IF(O140&gt;0,"Above","Equals"))</f>
        <v>Below</v>
      </c>
      <c r="Q140" s="4" t="s">
        <v>344</v>
      </c>
      <c r="R140" s="5"/>
      <c r="S140" s="6"/>
      <c r="U140" s="12">
        <v>4</v>
      </c>
      <c r="V140" s="4">
        <v>1064</v>
      </c>
      <c r="W140" s="14">
        <v>45873</v>
      </c>
      <c r="X140" s="4" t="s">
        <v>50</v>
      </c>
      <c r="Y140" s="13">
        <v>87</v>
      </c>
      <c r="Z140" s="26">
        <v>45887</v>
      </c>
      <c r="AA140" s="4" t="s">
        <v>299</v>
      </c>
      <c r="AB140" s="4" t="s">
        <v>312</v>
      </c>
      <c r="AC140" s="33" t="s">
        <v>545</v>
      </c>
      <c r="AD140" s="9">
        <v>96000</v>
      </c>
      <c r="AE140" s="5">
        <v>45880</v>
      </c>
      <c r="AF140" s="11"/>
      <c r="AG140" s="11"/>
      <c r="AI140" s="9"/>
      <c r="AJ140" s="11"/>
      <c r="AK140" s="4">
        <v>1166</v>
      </c>
      <c r="AL140" s="14">
        <v>45887</v>
      </c>
    </row>
    <row r="141" spans="1:38" ht="43.5">
      <c r="A141" s="4" t="s">
        <v>50</v>
      </c>
      <c r="B141" s="4">
        <v>8</v>
      </c>
      <c r="C141" s="4">
        <v>93</v>
      </c>
      <c r="D141" s="6" t="s">
        <v>466</v>
      </c>
      <c r="E141" s="4" t="s">
        <v>11</v>
      </c>
      <c r="F141" s="4" t="str" cm="1">
        <f t="array" ref="F141">_xlfn.IFS(
  E141="Mahuva", "Mahuva",
  E141="Jesar", "Mahuva",
  E141="Palitana", "Palitana",
  E141="Gariyadhar", "Palitana",
  E141="Talaja", "Talaja",
  E141="Vallabhipur", "Vallabhipur",
  E141="Umrala", "Vallabhipur",
  E141="Shihor", "Shihor",
  E141="Ghogha", "Bhavnagar",
  E141="Bhavnagar", "Bhavnagar"
)</f>
        <v>Shihor</v>
      </c>
      <c r="G141" s="4" t="s">
        <v>206</v>
      </c>
      <c r="H141" s="4">
        <v>199709</v>
      </c>
      <c r="I141" s="4">
        <v>1</v>
      </c>
      <c r="J141" s="5">
        <v>45837</v>
      </c>
      <c r="K141" s="5">
        <v>45848</v>
      </c>
      <c r="L141" s="5">
        <v>45849</v>
      </c>
      <c r="M141" s="7">
        <v>2079935.08</v>
      </c>
      <c r="N141" s="7">
        <v>1923731.96</v>
      </c>
      <c r="O141" s="8">
        <v>-7.51</v>
      </c>
      <c r="P141" s="8" t="str">
        <f>IF(O141&lt;0,"Below",IF(O141&gt;0,"Above","Equals"))</f>
        <v>Below</v>
      </c>
      <c r="Q141" s="4" t="s">
        <v>231</v>
      </c>
      <c r="R141" s="5"/>
      <c r="S141" s="6"/>
      <c r="U141" s="12">
        <v>4</v>
      </c>
      <c r="V141" s="4">
        <v>1093</v>
      </c>
      <c r="W141" s="14">
        <v>45877</v>
      </c>
      <c r="X141" s="4" t="s">
        <v>50</v>
      </c>
      <c r="Y141" s="13">
        <v>117</v>
      </c>
      <c r="Z141" s="26">
        <v>45898</v>
      </c>
      <c r="AA141" s="4" t="s">
        <v>299</v>
      </c>
      <c r="AB141" s="4" t="s">
        <v>312</v>
      </c>
      <c r="AC141" s="33">
        <v>44407033346</v>
      </c>
      <c r="AD141" s="9">
        <v>97000</v>
      </c>
      <c r="AE141" s="5">
        <v>45895</v>
      </c>
      <c r="AF141" s="11"/>
      <c r="AG141" s="11"/>
      <c r="AI141" s="9"/>
      <c r="AJ141" s="11"/>
      <c r="AK141" s="4">
        <v>1219</v>
      </c>
      <c r="AL141" s="14">
        <v>45898</v>
      </c>
    </row>
    <row r="142" spans="1:38" ht="43.5">
      <c r="A142" s="4" t="s">
        <v>50</v>
      </c>
      <c r="B142" s="4">
        <v>8</v>
      </c>
      <c r="C142" s="4">
        <v>96</v>
      </c>
      <c r="D142" s="6" t="s">
        <v>467</v>
      </c>
      <c r="E142" s="4" t="s">
        <v>11</v>
      </c>
      <c r="F142" s="4" t="str" cm="1">
        <f t="array" ref="F142">_xlfn.IFS(
  E142="Mahuva", "Mahuva",
  E142="Jesar", "Mahuva",
  E142="Palitana", "Palitana",
  E142="Gariyadhar", "Palitana",
  E142="Talaja", "Talaja",
  E142="Vallabhipur", "Vallabhipur",
  E142="Umrala", "Vallabhipur",
  E142="Shihor", "Shihor",
  E142="Ghogha", "Bhavnagar",
  E142="Bhavnagar", "Bhavnagar"
)</f>
        <v>Shihor</v>
      </c>
      <c r="G142" s="4" t="s">
        <v>206</v>
      </c>
      <c r="H142" s="4">
        <v>199712</v>
      </c>
      <c r="I142" s="4"/>
      <c r="J142" s="5">
        <v>45837</v>
      </c>
      <c r="K142" s="5">
        <v>45848</v>
      </c>
      <c r="L142" s="5">
        <v>45849</v>
      </c>
      <c r="M142" s="7">
        <v>2079935.08</v>
      </c>
      <c r="N142" s="7">
        <v>1971778.46</v>
      </c>
      <c r="O142" s="8">
        <v>-5.2</v>
      </c>
      <c r="P142" s="8" t="str">
        <f>IF(O142&lt;0,"Below",IF(O142&gt;0,"Above","Equals"))</f>
        <v>Below</v>
      </c>
      <c r="Q142" s="4" t="s">
        <v>242</v>
      </c>
      <c r="R142" s="5"/>
      <c r="S142" s="6"/>
      <c r="U142" s="12">
        <v>4</v>
      </c>
      <c r="V142" s="4">
        <v>1104</v>
      </c>
      <c r="W142" s="14">
        <v>45877</v>
      </c>
      <c r="X142" s="4" t="s">
        <v>50</v>
      </c>
      <c r="Y142" s="13">
        <v>255</v>
      </c>
      <c r="Z142" s="26">
        <v>46014</v>
      </c>
      <c r="AA142" s="4" t="s">
        <v>299</v>
      </c>
      <c r="AB142" s="4" t="s">
        <v>725</v>
      </c>
      <c r="AC142" s="33" t="s">
        <v>841</v>
      </c>
      <c r="AD142" s="9">
        <v>100000</v>
      </c>
      <c r="AE142" s="5">
        <v>46008</v>
      </c>
      <c r="AF142" s="11"/>
      <c r="AG142" s="11"/>
      <c r="AI142" s="9"/>
      <c r="AJ142" s="11"/>
      <c r="AK142" s="4">
        <v>1800</v>
      </c>
      <c r="AL142" s="14">
        <v>46014</v>
      </c>
    </row>
    <row r="143" spans="1:38" ht="43.5">
      <c r="A143" s="4" t="s">
        <v>50</v>
      </c>
      <c r="B143" s="4">
        <v>8</v>
      </c>
      <c r="C143" s="4">
        <v>97</v>
      </c>
      <c r="D143" s="6" t="s">
        <v>468</v>
      </c>
      <c r="E143" s="4" t="s">
        <v>3</v>
      </c>
      <c r="F143" s="4" t="str" cm="1">
        <f t="array" ref="F143">_xlfn.IFS(
  E143="Mahuva", "Mahuva",
  E143="Jesar", "Mahuva",
  E143="Palitana", "Palitana",
  E143="Gariyadhar", "Palitana",
  E143="Talaja", "Talaja",
  E143="Vallabhipur", "Vallabhipur",
  E143="Umrala", "Vallabhipur",
  E143="Shihor", "Shihor",
  E143="Ghogha", "Bhavnagar",
  E143="Bhavnagar", "Bhavnagar"
)</f>
        <v>Talaja</v>
      </c>
      <c r="G143" s="4" t="s">
        <v>206</v>
      </c>
      <c r="H143" s="4">
        <v>200162</v>
      </c>
      <c r="I143" s="4"/>
      <c r="J143" s="5">
        <v>45837</v>
      </c>
      <c r="K143" s="5">
        <v>45848</v>
      </c>
      <c r="L143" s="5">
        <v>45849</v>
      </c>
      <c r="M143" s="7">
        <v>2079935.08</v>
      </c>
      <c r="N143" s="7">
        <v>1938499.49</v>
      </c>
      <c r="O143" s="8">
        <v>-6.8</v>
      </c>
      <c r="P143" s="8" t="str">
        <f>IF(O143&lt;0,"Below",IF(O143&gt;0,"Above","Equals"))</f>
        <v>Below</v>
      </c>
      <c r="Q143" s="4" t="s">
        <v>334</v>
      </c>
      <c r="R143" s="5"/>
      <c r="S143" s="6"/>
      <c r="U143" s="12">
        <v>4</v>
      </c>
      <c r="V143" s="4">
        <v>1092</v>
      </c>
      <c r="W143" s="14">
        <v>45877</v>
      </c>
      <c r="X143" s="4" t="s">
        <v>50</v>
      </c>
      <c r="Y143" s="13">
        <v>124</v>
      </c>
      <c r="Z143" s="26">
        <v>45899</v>
      </c>
      <c r="AA143" s="4" t="s">
        <v>299</v>
      </c>
      <c r="AB143" s="4" t="s">
        <v>537</v>
      </c>
      <c r="AC143" s="33" t="s">
        <v>628</v>
      </c>
      <c r="AD143" s="9">
        <v>97000</v>
      </c>
      <c r="AE143" s="5">
        <v>45889</v>
      </c>
      <c r="AF143" s="11"/>
      <c r="AG143" s="11"/>
      <c r="AI143" s="9"/>
      <c r="AJ143" s="11"/>
      <c r="AK143" s="4">
        <v>1229</v>
      </c>
      <c r="AL143" s="14">
        <v>45899</v>
      </c>
    </row>
    <row r="144" spans="1:38" ht="43.5">
      <c r="A144" s="4" t="str">
        <f>A143</f>
        <v>2025-26</v>
      </c>
      <c r="B144" s="4">
        <f>B143</f>
        <v>8</v>
      </c>
      <c r="C144" s="4">
        <f>C143+1</f>
        <v>98</v>
      </c>
      <c r="D144" s="6" t="s">
        <v>1154</v>
      </c>
      <c r="E144" s="4" t="s">
        <v>10</v>
      </c>
      <c r="F144" s="4" t="str" cm="1">
        <f t="array" ref="F144">_xlfn.IFS(
  E144="Mahuva", "Mahuva",
  E144="Jesar", "Mahuva",
  E144="Palitana", "Palitana",
  E144="Gariyadhar", "Palitana",
  E144="Talaja", "Talaja",
  E144="Vallabhipur", "Vallabhipur",
  E144="Umrala", "Vallabhipur",
  E144="Shihor", "Shihor",
  E144="Ghogha", "Bhavnagar",
  E144="Bhavnagar", "Bhavnagar"
)</f>
        <v>Mahuva</v>
      </c>
      <c r="G144" s="4" t="s">
        <v>19</v>
      </c>
      <c r="H144" s="4">
        <v>293853</v>
      </c>
      <c r="I144" s="4"/>
      <c r="M144" s="7">
        <v>14218971.35</v>
      </c>
      <c r="N144" s="7">
        <v>14945560.789999999</v>
      </c>
      <c r="O144" s="8">
        <v>5.1100000000000003</v>
      </c>
      <c r="P144" s="8" t="str">
        <f>IF(O144&lt;0,"Below",IF(O144&gt;0,"Above","Equals"))</f>
        <v>Above</v>
      </c>
      <c r="Q144" s="4" t="s">
        <v>1139</v>
      </c>
      <c r="R144" s="5">
        <v>46155</v>
      </c>
      <c r="S144" s="15"/>
      <c r="U144" s="12"/>
      <c r="V144" s="4"/>
      <c r="X144" s="4"/>
      <c r="Y144" s="13"/>
      <c r="Z144" s="13"/>
      <c r="AA144" s="4"/>
      <c r="AB144" s="4"/>
      <c r="AD144" s="9"/>
      <c r="AE144" s="5"/>
      <c r="AF144" s="11"/>
      <c r="AG144" s="11"/>
      <c r="AI144" s="9"/>
      <c r="AJ144" s="11"/>
      <c r="AK144" s="4"/>
    </row>
    <row r="145" spans="1:38" ht="87">
      <c r="A145" s="4" t="s">
        <v>50</v>
      </c>
      <c r="B145" s="4">
        <v>8</v>
      </c>
      <c r="C145" s="4">
        <v>98</v>
      </c>
      <c r="D145" s="6" t="s">
        <v>469</v>
      </c>
      <c r="E145" s="4" t="s">
        <v>3</v>
      </c>
      <c r="F145" s="4" t="str" cm="1">
        <f t="array" ref="F145">_xlfn.IFS(
  E145="Mahuva", "Mahuva",
  E145="Jesar", "Mahuva",
  E145="Palitana", "Palitana",
  E145="Gariyadhar", "Palitana",
  E145="Talaja", "Talaja",
  E145="Vallabhipur", "Vallabhipur",
  E145="Umrala", "Vallabhipur",
  E145="Shihor", "Shihor",
  E145="Ghogha", "Bhavnagar",
  E145="Bhavnagar", "Bhavnagar"
)</f>
        <v>Talaja</v>
      </c>
      <c r="G145" s="4" t="s">
        <v>206</v>
      </c>
      <c r="H145" s="4">
        <v>200169</v>
      </c>
      <c r="I145" s="4"/>
      <c r="J145" s="5">
        <v>45837</v>
      </c>
      <c r="K145" s="5">
        <v>45848</v>
      </c>
      <c r="L145" s="5">
        <v>45849</v>
      </c>
      <c r="M145" s="7">
        <v>2079935.08</v>
      </c>
      <c r="N145" s="7">
        <v>1934339.62</v>
      </c>
      <c r="O145" s="8">
        <v>-7</v>
      </c>
      <c r="P145" s="8" t="str">
        <f>IF(O145&lt;0,"Below",IF(O145&gt;0,"Above","Equals"))</f>
        <v>Below</v>
      </c>
      <c r="Q145" s="4" t="s">
        <v>347</v>
      </c>
      <c r="R145" s="5"/>
      <c r="S145" s="6"/>
      <c r="U145" s="12">
        <v>4</v>
      </c>
      <c r="V145" s="4">
        <v>1085</v>
      </c>
      <c r="W145" s="14">
        <v>45876</v>
      </c>
      <c r="X145" s="4" t="s">
        <v>50</v>
      </c>
      <c r="Y145" s="13">
        <v>181</v>
      </c>
      <c r="Z145" s="26">
        <v>45943</v>
      </c>
      <c r="AA145" s="4" t="s">
        <v>299</v>
      </c>
      <c r="AB145" s="4" t="s">
        <v>722</v>
      </c>
      <c r="AC145" s="33" t="s">
        <v>723</v>
      </c>
      <c r="AD145" s="9">
        <v>97000</v>
      </c>
      <c r="AE145" s="5">
        <v>45917</v>
      </c>
      <c r="AF145" s="11"/>
      <c r="AG145" s="11"/>
      <c r="AI145" s="9"/>
      <c r="AJ145" s="11"/>
      <c r="AK145" s="4">
        <v>1466</v>
      </c>
      <c r="AL145" s="14">
        <v>45943</v>
      </c>
    </row>
    <row r="146" spans="1:38" ht="43.5">
      <c r="A146" s="4" t="s">
        <v>50</v>
      </c>
      <c r="B146" s="4">
        <v>8</v>
      </c>
      <c r="C146" s="4">
        <v>99</v>
      </c>
      <c r="D146" s="6" t="s">
        <v>470</v>
      </c>
      <c r="E146" s="4" t="s">
        <v>3</v>
      </c>
      <c r="F146" s="4" t="str" cm="1">
        <f t="array" ref="F146">_xlfn.IFS(
  E146="Mahuva", "Mahuva",
  E146="Jesar", "Mahuva",
  E146="Palitana", "Palitana",
  E146="Gariyadhar", "Palitana",
  E146="Talaja", "Talaja",
  E146="Vallabhipur", "Vallabhipur",
  E146="Umrala", "Vallabhipur",
  E146="Shihor", "Shihor",
  E146="Ghogha", "Bhavnagar",
  E146="Bhavnagar", "Bhavnagar"
)</f>
        <v>Talaja</v>
      </c>
      <c r="G146" s="4" t="s">
        <v>206</v>
      </c>
      <c r="H146" s="4">
        <v>200174</v>
      </c>
      <c r="I146" s="4"/>
      <c r="J146" s="5">
        <v>45837</v>
      </c>
      <c r="K146" s="5">
        <v>45848</v>
      </c>
      <c r="L146" s="5">
        <v>45849</v>
      </c>
      <c r="M146" s="7">
        <v>2079935.08</v>
      </c>
      <c r="N146" s="7">
        <v>1948275.19</v>
      </c>
      <c r="O146" s="8">
        <v>-6.33</v>
      </c>
      <c r="P146" s="8" t="str">
        <f>IF(O146&lt;0,"Below",IF(O146&gt;0,"Above","Equals"))</f>
        <v>Below</v>
      </c>
      <c r="Q146" s="4" t="s">
        <v>332</v>
      </c>
      <c r="R146" s="5"/>
      <c r="S146" s="6"/>
      <c r="U146" s="12">
        <v>4</v>
      </c>
      <c r="V146" s="4">
        <v>1097</v>
      </c>
      <c r="W146" s="14">
        <v>45877</v>
      </c>
      <c r="X146" s="4"/>
      <c r="Y146" s="13"/>
      <c r="Z146" s="13"/>
      <c r="AA146" s="4"/>
      <c r="AB146" s="4"/>
      <c r="AD146" s="9"/>
      <c r="AE146" s="5"/>
      <c r="AF146" s="11"/>
      <c r="AG146" s="11"/>
      <c r="AI146" s="9"/>
      <c r="AJ146" s="11"/>
      <c r="AK146" s="4"/>
    </row>
    <row r="147" spans="1:38" ht="43.5">
      <c r="A147" s="4" t="s">
        <v>50</v>
      </c>
      <c r="B147" s="4">
        <v>8</v>
      </c>
      <c r="C147" s="4">
        <v>100</v>
      </c>
      <c r="D147" s="6" t="s">
        <v>471</v>
      </c>
      <c r="E147" s="4" t="s">
        <v>3</v>
      </c>
      <c r="F147" s="4" t="str" cm="1">
        <f t="array" ref="F147">_xlfn.IFS(
  E147="Mahuva", "Mahuva",
  E147="Jesar", "Mahuva",
  E147="Palitana", "Palitana",
  E147="Gariyadhar", "Palitana",
  E147="Talaja", "Talaja",
  E147="Vallabhipur", "Vallabhipur",
  E147="Umrala", "Vallabhipur",
  E147="Shihor", "Shihor",
  E147="Ghogha", "Bhavnagar",
  E147="Bhavnagar", "Bhavnagar"
)</f>
        <v>Talaja</v>
      </c>
      <c r="G147" s="4" t="s">
        <v>206</v>
      </c>
      <c r="H147" s="4">
        <v>200178</v>
      </c>
      <c r="I147" s="4"/>
      <c r="J147" s="5">
        <v>45837</v>
      </c>
      <c r="K147" s="5">
        <v>45848</v>
      </c>
      <c r="L147" s="5">
        <v>45849</v>
      </c>
      <c r="M147" s="7">
        <v>2079935.08</v>
      </c>
      <c r="N147" s="7">
        <v>1938915.48</v>
      </c>
      <c r="O147" s="8">
        <v>-6.78</v>
      </c>
      <c r="P147" s="8" t="str">
        <f>IF(O147&lt;0,"Below",IF(O147&gt;0,"Above","Equals"))</f>
        <v>Below</v>
      </c>
      <c r="Q147" s="4" t="s">
        <v>334</v>
      </c>
      <c r="R147" s="5"/>
      <c r="S147" s="6"/>
      <c r="U147" s="12">
        <v>4</v>
      </c>
      <c r="V147" s="4">
        <v>1096</v>
      </c>
      <c r="W147" s="14">
        <v>45877</v>
      </c>
      <c r="X147" s="4" t="s">
        <v>50</v>
      </c>
      <c r="Y147" s="13">
        <v>125</v>
      </c>
      <c r="Z147" s="26">
        <v>45899</v>
      </c>
      <c r="AA147" s="4" t="s">
        <v>299</v>
      </c>
      <c r="AB147" s="4" t="s">
        <v>537</v>
      </c>
      <c r="AC147" s="33" t="s">
        <v>629</v>
      </c>
      <c r="AD147" s="9">
        <v>97000</v>
      </c>
      <c r="AE147" s="5">
        <v>45889</v>
      </c>
      <c r="AF147" s="11"/>
      <c r="AG147" s="11"/>
      <c r="AI147" s="9"/>
      <c r="AJ147" s="11"/>
      <c r="AK147" s="4">
        <v>1230</v>
      </c>
      <c r="AL147" s="14">
        <v>45899</v>
      </c>
    </row>
    <row r="148" spans="1:38" ht="43.5">
      <c r="A148" s="4" t="s">
        <v>50</v>
      </c>
      <c r="B148" s="4">
        <v>8</v>
      </c>
      <c r="C148" s="4">
        <v>101</v>
      </c>
      <c r="D148" s="6" t="s">
        <v>472</v>
      </c>
      <c r="E148" s="4" t="s">
        <v>3</v>
      </c>
      <c r="F148" s="4" t="str" cm="1">
        <f t="array" ref="F148">_xlfn.IFS(
  E148="Mahuva", "Mahuva",
  E148="Jesar", "Mahuva",
  E148="Palitana", "Palitana",
  E148="Gariyadhar", "Palitana",
  E148="Talaja", "Talaja",
  E148="Vallabhipur", "Vallabhipur",
  E148="Umrala", "Vallabhipur",
  E148="Shihor", "Shihor",
  E148="Ghogha", "Bhavnagar",
  E148="Bhavnagar", "Bhavnagar"
)</f>
        <v>Talaja</v>
      </c>
      <c r="G148" s="4" t="s">
        <v>206</v>
      </c>
      <c r="H148" s="4">
        <v>200180</v>
      </c>
      <c r="I148" s="4"/>
      <c r="J148" s="5">
        <v>45837</v>
      </c>
      <c r="K148" s="5">
        <v>45848</v>
      </c>
      <c r="L148" s="5">
        <v>45849</v>
      </c>
      <c r="M148" s="7">
        <v>2079935.08</v>
      </c>
      <c r="N148" s="7">
        <v>1938499.49</v>
      </c>
      <c r="O148" s="8">
        <v>-6.8</v>
      </c>
      <c r="P148" s="8" t="str">
        <f>IF(O148&lt;0,"Below",IF(O148&gt;0,"Above","Equals"))</f>
        <v>Below</v>
      </c>
      <c r="Q148" s="4" t="s">
        <v>334</v>
      </c>
      <c r="R148" s="5"/>
      <c r="S148" s="6"/>
      <c r="U148" s="12"/>
      <c r="V148" s="4">
        <v>1083</v>
      </c>
      <c r="W148" s="14">
        <v>45876</v>
      </c>
      <c r="X148" s="4" t="s">
        <v>50</v>
      </c>
      <c r="Y148" s="13">
        <v>126</v>
      </c>
      <c r="Z148" s="26">
        <v>45899</v>
      </c>
      <c r="AA148" s="4" t="s">
        <v>299</v>
      </c>
      <c r="AB148" s="4" t="s">
        <v>537</v>
      </c>
      <c r="AC148" s="33" t="s">
        <v>630</v>
      </c>
      <c r="AD148" s="9">
        <v>97000</v>
      </c>
      <c r="AE148" s="5">
        <v>45889</v>
      </c>
      <c r="AF148" s="11"/>
      <c r="AG148" s="11"/>
      <c r="AI148" s="9"/>
      <c r="AJ148" s="11"/>
      <c r="AK148" s="4">
        <v>1231</v>
      </c>
      <c r="AL148" s="14">
        <v>45899</v>
      </c>
    </row>
    <row r="149" spans="1:38" ht="43.5">
      <c r="A149" s="4" t="s">
        <v>50</v>
      </c>
      <c r="B149" s="4">
        <v>8</v>
      </c>
      <c r="C149" s="4">
        <v>102</v>
      </c>
      <c r="D149" s="6" t="s">
        <v>473</v>
      </c>
      <c r="E149" s="4" t="s">
        <v>3</v>
      </c>
      <c r="F149" s="4" t="str" cm="1">
        <f t="array" ref="F149">_xlfn.IFS(
  E149="Mahuva", "Mahuva",
  E149="Jesar", "Mahuva",
  E149="Palitana", "Palitana",
  E149="Gariyadhar", "Palitana",
  E149="Talaja", "Talaja",
  E149="Vallabhipur", "Vallabhipur",
  E149="Umrala", "Vallabhipur",
  E149="Shihor", "Shihor",
  E149="Ghogha", "Bhavnagar",
  E149="Bhavnagar", "Bhavnagar"
)</f>
        <v>Talaja</v>
      </c>
      <c r="G149" s="4" t="s">
        <v>206</v>
      </c>
      <c r="H149" s="4">
        <v>200181</v>
      </c>
      <c r="I149" s="4"/>
      <c r="J149" s="5">
        <v>45837</v>
      </c>
      <c r="K149" s="5">
        <v>45848</v>
      </c>
      <c r="L149" s="5">
        <v>45849</v>
      </c>
      <c r="M149" s="7">
        <v>2079935.08</v>
      </c>
      <c r="N149" s="7">
        <v>1916036.2</v>
      </c>
      <c r="O149" s="8">
        <v>-7.88</v>
      </c>
      <c r="P149" s="8" t="str">
        <f>IF(O149&lt;0,"Below",IF(O149&gt;0,"Above","Equals"))</f>
        <v>Below</v>
      </c>
      <c r="Q149" s="4" t="s">
        <v>633</v>
      </c>
      <c r="R149" s="5"/>
      <c r="S149" s="6"/>
      <c r="U149" s="12">
        <v>4</v>
      </c>
      <c r="V149" s="4">
        <v>1103</v>
      </c>
      <c r="W149" s="14">
        <v>45877</v>
      </c>
      <c r="X149" s="4" t="s">
        <v>50</v>
      </c>
      <c r="Y149" s="13">
        <v>140</v>
      </c>
      <c r="Z149" s="26">
        <v>45902</v>
      </c>
      <c r="AA149" s="4" t="s">
        <v>299</v>
      </c>
      <c r="AB149" s="4" t="s">
        <v>632</v>
      </c>
      <c r="AC149" s="33">
        <v>5856183073</v>
      </c>
      <c r="AD149" s="9">
        <v>96000</v>
      </c>
      <c r="AE149" s="5">
        <v>45887</v>
      </c>
      <c r="AF149" s="11"/>
      <c r="AG149" s="11"/>
      <c r="AI149" s="9"/>
      <c r="AJ149" s="11"/>
      <c r="AK149" s="4">
        <v>1251</v>
      </c>
      <c r="AL149" s="14">
        <v>45902</v>
      </c>
    </row>
    <row r="150" spans="1:38" ht="43.5">
      <c r="A150" s="4" t="s">
        <v>50</v>
      </c>
      <c r="B150" s="4">
        <v>8</v>
      </c>
      <c r="C150" s="4">
        <v>103</v>
      </c>
      <c r="D150" s="6" t="s">
        <v>474</v>
      </c>
      <c r="E150" s="4" t="s">
        <v>3</v>
      </c>
      <c r="F150" s="4" t="str" cm="1">
        <f t="array" ref="F150">_xlfn.IFS(
  E150="Mahuva", "Mahuva",
  E150="Jesar", "Mahuva",
  E150="Palitana", "Palitana",
  E150="Gariyadhar", "Palitana",
  E150="Talaja", "Talaja",
  E150="Vallabhipur", "Vallabhipur",
  E150="Umrala", "Vallabhipur",
  E150="Shihor", "Shihor",
  E150="Ghogha", "Bhavnagar",
  E150="Bhavnagar", "Bhavnagar"
)</f>
        <v>Talaja</v>
      </c>
      <c r="G150" s="4" t="s">
        <v>206</v>
      </c>
      <c r="H150" s="4">
        <v>200182</v>
      </c>
      <c r="I150" s="4"/>
      <c r="J150" s="5">
        <v>45837</v>
      </c>
      <c r="K150" s="5">
        <v>45848</v>
      </c>
      <c r="L150" s="5">
        <v>45849</v>
      </c>
      <c r="M150" s="7">
        <v>2079935.08</v>
      </c>
      <c r="N150" s="7">
        <v>1927059.85</v>
      </c>
      <c r="O150" s="8">
        <v>-7.35</v>
      </c>
      <c r="P150" s="8" t="str">
        <f>IF(O150&lt;0,"Below",IF(O150&gt;0,"Above","Equals"))</f>
        <v>Below</v>
      </c>
      <c r="Q150" s="4" t="s">
        <v>348</v>
      </c>
      <c r="R150" s="5"/>
      <c r="S150" s="6"/>
      <c r="U150" s="12">
        <v>4</v>
      </c>
      <c r="V150" s="4">
        <v>1102</v>
      </c>
      <c r="W150" s="14">
        <v>45877</v>
      </c>
      <c r="X150" s="4" t="s">
        <v>50</v>
      </c>
      <c r="Y150" s="13">
        <v>137</v>
      </c>
      <c r="Z150" s="26">
        <v>45902</v>
      </c>
      <c r="AA150" s="4" t="s">
        <v>299</v>
      </c>
      <c r="AB150" s="4" t="s">
        <v>300</v>
      </c>
      <c r="AC150" s="33">
        <v>78049045980</v>
      </c>
      <c r="AD150" s="9">
        <v>97000</v>
      </c>
      <c r="AE150" s="5">
        <v>45891</v>
      </c>
      <c r="AF150" s="11"/>
      <c r="AG150" s="11"/>
      <c r="AI150" s="9"/>
      <c r="AJ150" s="11"/>
      <c r="AK150" s="4">
        <v>1248</v>
      </c>
      <c r="AL150" s="14">
        <v>45902</v>
      </c>
    </row>
    <row r="151" spans="1:38" ht="43.5">
      <c r="A151" s="4" t="s">
        <v>50</v>
      </c>
      <c r="B151" s="4">
        <v>8</v>
      </c>
      <c r="C151" s="4">
        <v>104</v>
      </c>
      <c r="D151" s="6" t="s">
        <v>475</v>
      </c>
      <c r="E151" s="4" t="s">
        <v>3</v>
      </c>
      <c r="F151" s="4" t="str" cm="1">
        <f t="array" ref="F151">_xlfn.IFS(
  E151="Mahuva", "Mahuva",
  E151="Jesar", "Mahuva",
  E151="Palitana", "Palitana",
  E151="Gariyadhar", "Palitana",
  E151="Talaja", "Talaja",
  E151="Vallabhipur", "Vallabhipur",
  E151="Umrala", "Vallabhipur",
  E151="Shihor", "Shihor",
  E151="Ghogha", "Bhavnagar",
  E151="Bhavnagar", "Bhavnagar"
)</f>
        <v>Talaja</v>
      </c>
      <c r="G151" s="4" t="s">
        <v>206</v>
      </c>
      <c r="H151" s="4">
        <v>200183</v>
      </c>
      <c r="I151" s="4"/>
      <c r="J151" s="5">
        <v>45837</v>
      </c>
      <c r="K151" s="5">
        <v>45848</v>
      </c>
      <c r="L151" s="5">
        <v>45849</v>
      </c>
      <c r="M151" s="7">
        <v>2079935.08</v>
      </c>
      <c r="N151" s="7">
        <v>1927059.85</v>
      </c>
      <c r="O151" s="8">
        <v>-7.35</v>
      </c>
      <c r="P151" s="8" t="str">
        <f>IF(O151&lt;0,"Below",IF(O151&gt;0,"Above","Equals"))</f>
        <v>Below</v>
      </c>
      <c r="Q151" s="4" t="s">
        <v>348</v>
      </c>
      <c r="R151" s="5"/>
      <c r="S151" s="6"/>
      <c r="U151" s="12">
        <v>4</v>
      </c>
      <c r="V151" s="4">
        <v>1101</v>
      </c>
      <c r="W151" s="14">
        <v>45877</v>
      </c>
      <c r="X151" s="4" t="s">
        <v>50</v>
      </c>
      <c r="Y151" s="13">
        <v>138</v>
      </c>
      <c r="Z151" s="26">
        <v>45902</v>
      </c>
      <c r="AA151" s="4" t="s">
        <v>299</v>
      </c>
      <c r="AB151" s="4" t="s">
        <v>300</v>
      </c>
      <c r="AC151" s="33">
        <v>78049046008</v>
      </c>
      <c r="AD151" s="9">
        <v>97000</v>
      </c>
      <c r="AE151" s="5">
        <v>45891</v>
      </c>
      <c r="AF151" s="11"/>
      <c r="AG151" s="11"/>
      <c r="AI151" s="9"/>
      <c r="AJ151" s="11"/>
      <c r="AK151" s="4">
        <v>1249</v>
      </c>
      <c r="AL151" s="14">
        <v>45902</v>
      </c>
    </row>
    <row r="152" spans="1:38" ht="43.5">
      <c r="A152" s="4" t="s">
        <v>50</v>
      </c>
      <c r="B152" s="4">
        <v>8</v>
      </c>
      <c r="C152" s="4">
        <v>106</v>
      </c>
      <c r="D152" s="6" t="s">
        <v>476</v>
      </c>
      <c r="E152" s="4" t="s">
        <v>228</v>
      </c>
      <c r="F152" s="4" t="str" cm="1">
        <f t="array" ref="F152">_xlfn.IFS(
  E152="Mahuva", "Mahuva",
  E152="Jesar", "Mahuva",
  E152="Palitana", "Palitana",
  E152="Gariyadhar", "Palitana",
  E152="Talaja", "Talaja",
  E152="Vallabhipur", "Vallabhipur",
  E152="Umrala", "Vallabhipur",
  E152="Shihor", "Shihor",
  E152="Ghogha", "Bhavnagar",
  E152="Bhavnagar", "Bhavnagar"
)</f>
        <v>Mahuva</v>
      </c>
      <c r="G152" s="4" t="s">
        <v>206</v>
      </c>
      <c r="H152" s="4">
        <v>200188</v>
      </c>
      <c r="I152" s="4"/>
      <c r="J152" s="5">
        <v>45837</v>
      </c>
      <c r="K152" s="5">
        <v>45848</v>
      </c>
      <c r="L152" s="5">
        <v>45849</v>
      </c>
      <c r="M152" s="7">
        <v>2079935.08</v>
      </c>
      <c r="N152" s="7">
        <v>1895028.85</v>
      </c>
      <c r="O152" s="8">
        <v>-8.89</v>
      </c>
      <c r="P152" s="8" t="str">
        <f>IF(O152&lt;0,"Below",IF(O152&gt;0,"Above","Equals"))</f>
        <v>Below</v>
      </c>
      <c r="Q152" s="4" t="s">
        <v>330</v>
      </c>
      <c r="R152" s="5"/>
      <c r="S152" s="6"/>
      <c r="U152" s="12">
        <v>4</v>
      </c>
      <c r="V152" s="4">
        <v>1091</v>
      </c>
      <c r="W152" s="14">
        <v>45877</v>
      </c>
      <c r="X152" s="4" t="s">
        <v>50</v>
      </c>
      <c r="Y152" s="13">
        <v>252</v>
      </c>
      <c r="Z152" s="26">
        <v>46014</v>
      </c>
      <c r="AA152" s="4" t="s">
        <v>299</v>
      </c>
      <c r="AB152" s="4" t="s">
        <v>300</v>
      </c>
      <c r="AC152" s="33">
        <v>78048996936</v>
      </c>
      <c r="AD152" s="9">
        <v>95000</v>
      </c>
      <c r="AE152" s="5">
        <v>45887</v>
      </c>
      <c r="AF152" s="11"/>
      <c r="AG152" s="11"/>
      <c r="AI152" s="9"/>
      <c r="AJ152" s="11"/>
      <c r="AK152" s="4">
        <v>1797</v>
      </c>
      <c r="AL152" s="26">
        <v>46014</v>
      </c>
    </row>
    <row r="153" spans="1:38" ht="43.5">
      <c r="A153" s="4" t="s">
        <v>50</v>
      </c>
      <c r="B153" s="4">
        <v>8</v>
      </c>
      <c r="C153" s="4">
        <v>107</v>
      </c>
      <c r="D153" s="6" t="s">
        <v>477</v>
      </c>
      <c r="E153" s="4" t="s">
        <v>9</v>
      </c>
      <c r="F153" s="4" t="str" cm="1">
        <f t="array" ref="F153">_xlfn.IFS(
  E153="Mahuva", "Mahuva",
  E153="Jesar", "Mahuva",
  E153="Palitana", "Palitana",
  E153="Gariyadhar", "Palitana",
  E153="Talaja", "Talaja",
  E153="Vallabhipur", "Vallabhipur",
  E153="Umrala", "Vallabhipur",
  E153="Shihor", "Shihor",
  E153="Ghogha", "Bhavnagar",
  E153="Bhavnagar", "Bhavnagar"
)</f>
        <v>Vallabhipur</v>
      </c>
      <c r="G153" s="4" t="s">
        <v>206</v>
      </c>
      <c r="H153" s="4">
        <v>200189</v>
      </c>
      <c r="I153" s="4"/>
      <c r="J153" s="5">
        <v>45837</v>
      </c>
      <c r="K153" s="5">
        <v>45848</v>
      </c>
      <c r="L153" s="5">
        <v>45849</v>
      </c>
      <c r="M153" s="7">
        <v>2079935.08</v>
      </c>
      <c r="N153" s="7">
        <v>1806839.6</v>
      </c>
      <c r="O153" s="8">
        <v>-13.13</v>
      </c>
      <c r="P153" s="8" t="str">
        <f>IF(O153&lt;0,"Below",IF(O153&gt;0,"Above","Equals"))</f>
        <v>Below</v>
      </c>
      <c r="Q153" s="4" t="s">
        <v>349</v>
      </c>
      <c r="R153" s="5"/>
      <c r="S153" s="6"/>
      <c r="U153" s="12">
        <v>4</v>
      </c>
      <c r="V153" s="4">
        <v>1082</v>
      </c>
      <c r="W153" s="14">
        <v>45876</v>
      </c>
      <c r="X153" s="4" t="s">
        <v>50</v>
      </c>
      <c r="Y153" s="13">
        <v>132</v>
      </c>
      <c r="Z153" s="26">
        <v>45901</v>
      </c>
      <c r="AA153" s="4" t="s">
        <v>299</v>
      </c>
      <c r="AB153" s="4" t="s">
        <v>631</v>
      </c>
      <c r="AC153" s="33">
        <v>81157135161</v>
      </c>
      <c r="AD153" s="9">
        <v>91000</v>
      </c>
      <c r="AE153" s="5">
        <v>45894</v>
      </c>
      <c r="AF153" s="4" t="s">
        <v>299</v>
      </c>
      <c r="AG153" s="4" t="s">
        <v>631</v>
      </c>
      <c r="AH153" s="33">
        <v>8115723852</v>
      </c>
      <c r="AI153" s="9">
        <v>14000</v>
      </c>
      <c r="AJ153" s="5">
        <v>45894</v>
      </c>
      <c r="AK153" s="4">
        <v>1242</v>
      </c>
      <c r="AL153" s="14">
        <v>45901</v>
      </c>
    </row>
    <row r="154" spans="1:38" ht="43.5">
      <c r="A154" s="4" t="s">
        <v>50</v>
      </c>
      <c r="B154" s="4">
        <v>8</v>
      </c>
      <c r="C154" s="4">
        <v>108</v>
      </c>
      <c r="D154" s="6" t="s">
        <v>478</v>
      </c>
      <c r="E154" s="4" t="s">
        <v>9</v>
      </c>
      <c r="F154" s="4" t="str" cm="1">
        <f t="array" ref="F154">_xlfn.IFS(
  E154="Mahuva", "Mahuva",
  E154="Jesar", "Mahuva",
  E154="Palitana", "Palitana",
  E154="Gariyadhar", "Palitana",
  E154="Talaja", "Talaja",
  E154="Vallabhipur", "Vallabhipur",
  E154="Umrala", "Vallabhipur",
  E154="Shihor", "Shihor",
  E154="Ghogha", "Bhavnagar",
  E154="Bhavnagar", "Bhavnagar"
)</f>
        <v>Vallabhipur</v>
      </c>
      <c r="G154" s="4" t="s">
        <v>206</v>
      </c>
      <c r="H154" s="4">
        <v>200191</v>
      </c>
      <c r="I154" s="4"/>
      <c r="J154" s="5">
        <v>45837</v>
      </c>
      <c r="K154" s="5">
        <v>45848</v>
      </c>
      <c r="L154" s="5">
        <v>45849</v>
      </c>
      <c r="M154" s="7">
        <v>2079935.08</v>
      </c>
      <c r="N154" s="7">
        <v>1808919.54</v>
      </c>
      <c r="O154" s="8">
        <v>-13.03</v>
      </c>
      <c r="P154" s="8" t="str">
        <f>IF(O154&lt;0,"Below",IF(O154&gt;0,"Above","Equals"))</f>
        <v>Below</v>
      </c>
      <c r="Q154" s="4" t="s">
        <v>349</v>
      </c>
      <c r="R154" s="5"/>
      <c r="S154" s="6"/>
      <c r="U154" s="12">
        <v>4</v>
      </c>
      <c r="V154" s="4">
        <v>1109</v>
      </c>
      <c r="W154" s="14">
        <v>45877</v>
      </c>
      <c r="X154" s="4" t="s">
        <v>50</v>
      </c>
      <c r="Y154" s="13">
        <v>133</v>
      </c>
      <c r="Z154" s="26">
        <v>45901</v>
      </c>
      <c r="AA154" s="4" t="s">
        <v>299</v>
      </c>
      <c r="AB154" s="4" t="s">
        <v>631</v>
      </c>
      <c r="AC154" s="33">
        <v>8115717464</v>
      </c>
      <c r="AD154" s="9">
        <v>91000</v>
      </c>
      <c r="AE154" s="5">
        <v>45894</v>
      </c>
      <c r="AF154" s="4" t="s">
        <v>299</v>
      </c>
      <c r="AG154" s="4" t="s">
        <v>631</v>
      </c>
      <c r="AH154" s="33">
        <v>8115724641</v>
      </c>
      <c r="AI154" s="9">
        <v>13000</v>
      </c>
      <c r="AJ154" s="5">
        <v>45894</v>
      </c>
      <c r="AK154" s="4">
        <v>1243</v>
      </c>
      <c r="AL154" s="14">
        <v>45901</v>
      </c>
    </row>
    <row r="155" spans="1:38" ht="43.5">
      <c r="A155" s="4" t="s">
        <v>50</v>
      </c>
      <c r="B155" s="4">
        <v>8</v>
      </c>
      <c r="C155" s="4">
        <v>109</v>
      </c>
      <c r="D155" s="6" t="s">
        <v>479</v>
      </c>
      <c r="E155" s="4" t="s">
        <v>9</v>
      </c>
      <c r="F155" s="4" t="str" cm="1">
        <f t="array" ref="F155">_xlfn.IFS(
  E155="Mahuva", "Mahuva",
  E155="Jesar", "Mahuva",
  E155="Palitana", "Palitana",
  E155="Gariyadhar", "Palitana",
  E155="Talaja", "Talaja",
  E155="Vallabhipur", "Vallabhipur",
  E155="Umrala", "Vallabhipur",
  E155="Shihor", "Shihor",
  E155="Ghogha", "Bhavnagar",
  E155="Bhavnagar", "Bhavnagar"
)</f>
        <v>Vallabhipur</v>
      </c>
      <c r="G155" s="4" t="s">
        <v>206</v>
      </c>
      <c r="H155" s="4">
        <v>200193</v>
      </c>
      <c r="I155" s="4"/>
      <c r="J155" s="5">
        <v>45837</v>
      </c>
      <c r="K155" s="5">
        <v>45848</v>
      </c>
      <c r="L155" s="5">
        <v>45849</v>
      </c>
      <c r="M155" s="7">
        <v>2079935.08</v>
      </c>
      <c r="N155" s="7">
        <v>1809543.52</v>
      </c>
      <c r="O155" s="8">
        <v>-13</v>
      </c>
      <c r="P155" s="8" t="str">
        <f>IF(O155&lt;0,"Below",IF(O155&gt;0,"Above","Equals"))</f>
        <v>Below</v>
      </c>
      <c r="Q155" s="4" t="s">
        <v>349</v>
      </c>
      <c r="R155" s="5"/>
      <c r="S155" s="6"/>
      <c r="U155" s="12">
        <v>4</v>
      </c>
      <c r="V155" s="4">
        <v>1081</v>
      </c>
      <c r="W155" s="14">
        <v>45876</v>
      </c>
      <c r="X155" s="4" t="s">
        <v>50</v>
      </c>
      <c r="Y155" s="13">
        <v>134</v>
      </c>
      <c r="Z155" s="26">
        <v>45901</v>
      </c>
      <c r="AA155" s="4" t="s">
        <v>299</v>
      </c>
      <c r="AB155" s="4" t="s">
        <v>631</v>
      </c>
      <c r="AC155" s="33">
        <v>8115717689</v>
      </c>
      <c r="AD155" s="9">
        <v>91000</v>
      </c>
      <c r="AE155" s="5">
        <v>45894</v>
      </c>
      <c r="AF155" s="4" t="s">
        <v>299</v>
      </c>
      <c r="AG155" s="4" t="s">
        <v>631</v>
      </c>
      <c r="AH155" s="33">
        <v>8115724562</v>
      </c>
      <c r="AI155" s="9">
        <v>13000</v>
      </c>
      <c r="AJ155" s="5">
        <v>45894</v>
      </c>
      <c r="AK155" s="4">
        <v>1244</v>
      </c>
      <c r="AL155" s="14">
        <v>45901</v>
      </c>
    </row>
    <row r="156" spans="1:38" ht="43.5">
      <c r="A156" s="4" t="s">
        <v>50</v>
      </c>
      <c r="B156" s="4">
        <v>8</v>
      </c>
      <c r="C156" s="4">
        <v>110</v>
      </c>
      <c r="D156" s="6" t="s">
        <v>480</v>
      </c>
      <c r="E156" s="4" t="s">
        <v>9</v>
      </c>
      <c r="F156" s="4" t="str" cm="1">
        <f t="array" ref="F156">_xlfn.IFS(
  E156="Mahuva", "Mahuva",
  E156="Jesar", "Mahuva",
  E156="Palitana", "Palitana",
  E156="Gariyadhar", "Palitana",
  E156="Talaja", "Talaja",
  E156="Vallabhipur", "Vallabhipur",
  E156="Umrala", "Vallabhipur",
  E156="Shihor", "Shihor",
  E156="Ghogha", "Bhavnagar",
  E156="Bhavnagar", "Bhavnagar"
)</f>
        <v>Vallabhipur</v>
      </c>
      <c r="G156" s="4" t="s">
        <v>206</v>
      </c>
      <c r="H156" s="4">
        <v>200194</v>
      </c>
      <c r="I156" s="4"/>
      <c r="J156" s="5">
        <v>45837</v>
      </c>
      <c r="K156" s="5">
        <v>45848</v>
      </c>
      <c r="L156" s="5">
        <v>45849</v>
      </c>
      <c r="M156" s="7">
        <v>2079935.08</v>
      </c>
      <c r="N156" s="7">
        <v>1827846.95</v>
      </c>
      <c r="O156" s="8">
        <v>-12.12</v>
      </c>
      <c r="P156" s="8" t="str">
        <f>IF(O156&lt;0,"Below",IF(O156&gt;0,"Above","Equals"))</f>
        <v>Below</v>
      </c>
      <c r="Q156" s="4" t="s">
        <v>349</v>
      </c>
      <c r="R156" s="5"/>
      <c r="S156" s="6"/>
      <c r="U156" s="12">
        <v>4</v>
      </c>
      <c r="V156" s="4">
        <v>1084</v>
      </c>
      <c r="W156" s="14">
        <v>45876</v>
      </c>
      <c r="X156" s="4" t="s">
        <v>50</v>
      </c>
      <c r="Y156" s="13">
        <v>135</v>
      </c>
      <c r="Z156" s="26">
        <v>45901</v>
      </c>
      <c r="AA156" s="4" t="s">
        <v>299</v>
      </c>
      <c r="AB156" s="4" t="s">
        <v>631</v>
      </c>
      <c r="AC156" s="33">
        <v>8115717747</v>
      </c>
      <c r="AD156" s="9">
        <v>92000</v>
      </c>
      <c r="AE156" s="5">
        <v>45894</v>
      </c>
      <c r="AF156" s="4" t="s">
        <v>299</v>
      </c>
      <c r="AG156" s="4" t="s">
        <v>631</v>
      </c>
      <c r="AH156" s="33">
        <v>8115723976</v>
      </c>
      <c r="AI156" s="9">
        <v>9000</v>
      </c>
      <c r="AJ156" s="5">
        <v>45894</v>
      </c>
      <c r="AK156" s="4">
        <v>1245</v>
      </c>
      <c r="AL156" s="14">
        <v>45901</v>
      </c>
    </row>
    <row r="157" spans="1:38" ht="43.5">
      <c r="A157" s="4" t="s">
        <v>50</v>
      </c>
      <c r="B157" s="4">
        <v>8</v>
      </c>
      <c r="C157" s="4">
        <v>111</v>
      </c>
      <c r="D157" s="6" t="s">
        <v>481</v>
      </c>
      <c r="E157" s="4" t="s">
        <v>9</v>
      </c>
      <c r="F157" s="4" t="str" cm="1">
        <f t="array" ref="F157">_xlfn.IFS(
  E157="Mahuva", "Mahuva",
  E157="Jesar", "Mahuva",
  E157="Palitana", "Palitana",
  E157="Gariyadhar", "Palitana",
  E157="Talaja", "Talaja",
  E157="Vallabhipur", "Vallabhipur",
  E157="Umrala", "Vallabhipur",
  E157="Shihor", "Shihor",
  E157="Ghogha", "Bhavnagar",
  E157="Bhavnagar", "Bhavnagar"
)</f>
        <v>Vallabhipur</v>
      </c>
      <c r="G157" s="4" t="s">
        <v>206</v>
      </c>
      <c r="H157" s="4">
        <v>200196</v>
      </c>
      <c r="I157" s="4">
        <v>1</v>
      </c>
      <c r="J157" s="5">
        <v>45837</v>
      </c>
      <c r="K157" s="5">
        <v>45848</v>
      </c>
      <c r="L157" s="5">
        <v>45849</v>
      </c>
      <c r="M157" s="7">
        <v>2079935.08</v>
      </c>
      <c r="N157" s="7">
        <v>1848854.29</v>
      </c>
      <c r="O157" s="8">
        <v>-11.11</v>
      </c>
      <c r="P157" s="8" t="str">
        <f>IF(O157&lt;0,"Below",IF(O157&gt;0,"Above","Equals"))</f>
        <v>Below</v>
      </c>
      <c r="Q157" s="4" t="s">
        <v>349</v>
      </c>
      <c r="R157" s="5"/>
      <c r="S157" s="6"/>
      <c r="U157" s="12">
        <v>4</v>
      </c>
      <c r="V157" s="4">
        <v>1086</v>
      </c>
      <c r="W157" s="14">
        <v>45876</v>
      </c>
      <c r="X157" s="4" t="s">
        <v>50</v>
      </c>
      <c r="Y157" s="13">
        <v>136</v>
      </c>
      <c r="Z157" s="26">
        <v>45901</v>
      </c>
      <c r="AA157" s="4" t="s">
        <v>299</v>
      </c>
      <c r="AB157" s="4" t="s">
        <v>631</v>
      </c>
      <c r="AC157" s="33">
        <v>8115718242</v>
      </c>
      <c r="AD157" s="9">
        <v>93000</v>
      </c>
      <c r="AE157" s="5">
        <v>45894</v>
      </c>
      <c r="AF157" s="4" t="s">
        <v>299</v>
      </c>
      <c r="AG157" s="4" t="s">
        <v>631</v>
      </c>
      <c r="AH157" s="33">
        <v>8115724028</v>
      </c>
      <c r="AI157" s="9">
        <v>5000</v>
      </c>
      <c r="AJ157" s="5">
        <v>45894</v>
      </c>
      <c r="AK157" s="4">
        <v>1246</v>
      </c>
      <c r="AL157" s="14">
        <v>45901</v>
      </c>
    </row>
    <row r="158" spans="1:38" ht="43.5">
      <c r="A158" s="4" t="s">
        <v>50</v>
      </c>
      <c r="B158" s="4">
        <v>8</v>
      </c>
      <c r="C158" s="4">
        <v>112</v>
      </c>
      <c r="D158" s="6" t="s">
        <v>505</v>
      </c>
      <c r="E158" s="4" t="s">
        <v>10</v>
      </c>
      <c r="F158" s="4" t="str" cm="1">
        <f t="array" ref="F158">_xlfn.IFS(
  E158="Mahuva", "Mahuva",
  E158="Jesar", "Mahuva",
  E158="Palitana", "Palitana",
  E158="Gariyadhar", "Palitana",
  E158="Talaja", "Talaja",
  E158="Vallabhipur", "Vallabhipur",
  E158="Umrala", "Vallabhipur",
  E158="Shihor", "Shihor",
  E158="Ghogha", "Bhavnagar",
  E158="Bhavnagar", "Bhavnagar"
)</f>
        <v>Mahuva</v>
      </c>
      <c r="G158" s="4" t="s">
        <v>206</v>
      </c>
      <c r="H158" s="4">
        <v>200221</v>
      </c>
      <c r="I158" s="4">
        <v>1</v>
      </c>
      <c r="J158" s="5">
        <v>45837</v>
      </c>
      <c r="K158" s="5">
        <v>45848</v>
      </c>
      <c r="L158" s="5">
        <v>45849</v>
      </c>
      <c r="M158" s="7">
        <v>2880130.57</v>
      </c>
      <c r="N158" s="7">
        <v>2880130.57</v>
      </c>
      <c r="O158" s="8">
        <v>0</v>
      </c>
      <c r="P158" s="8" t="str">
        <f>IF(O158&lt;0,"Below",IF(O158&gt;0,"Above","Equals"))</f>
        <v>Equals</v>
      </c>
      <c r="Q158" s="4" t="s">
        <v>350</v>
      </c>
      <c r="R158" s="5"/>
      <c r="S158" s="6"/>
      <c r="U158" s="12">
        <v>4</v>
      </c>
      <c r="V158" s="4">
        <v>1264</v>
      </c>
      <c r="W158" s="14">
        <v>45904</v>
      </c>
      <c r="X158" s="4" t="s">
        <v>50</v>
      </c>
      <c r="Y158" s="13">
        <v>170</v>
      </c>
      <c r="Z158" s="26">
        <v>45931</v>
      </c>
      <c r="AA158" s="4" t="s">
        <v>299</v>
      </c>
      <c r="AB158" s="4" t="s">
        <v>312</v>
      </c>
      <c r="AC158" s="33">
        <v>44485205124</v>
      </c>
      <c r="AD158" s="9">
        <v>145000</v>
      </c>
      <c r="AE158" s="5">
        <v>45919</v>
      </c>
      <c r="AF158" s="11"/>
      <c r="AG158" s="11"/>
      <c r="AI158" s="9"/>
      <c r="AJ158" s="11"/>
      <c r="AK158" s="4">
        <v>1411</v>
      </c>
      <c r="AL158" s="26">
        <v>45931</v>
      </c>
    </row>
    <row r="159" spans="1:38" ht="43.5">
      <c r="A159" s="4" t="s">
        <v>50</v>
      </c>
      <c r="B159" s="4">
        <v>8</v>
      </c>
      <c r="C159" s="4">
        <v>113</v>
      </c>
      <c r="D159" s="6" t="s">
        <v>506</v>
      </c>
      <c r="E159" s="4" t="s">
        <v>10</v>
      </c>
      <c r="F159" s="4" t="str" cm="1">
        <f t="array" ref="F159">_xlfn.IFS(
  E159="Mahuva", "Mahuva",
  E159="Jesar", "Mahuva",
  E159="Palitana", "Palitana",
  E159="Gariyadhar", "Palitana",
  E159="Talaja", "Talaja",
  E159="Vallabhipur", "Vallabhipur",
  E159="Umrala", "Vallabhipur",
  E159="Shihor", "Shihor",
  E159="Ghogha", "Bhavnagar",
  E159="Bhavnagar", "Bhavnagar"
)</f>
        <v>Mahuva</v>
      </c>
      <c r="G159" s="4" t="s">
        <v>206</v>
      </c>
      <c r="H159" s="4">
        <v>200222</v>
      </c>
      <c r="I159" s="4"/>
      <c r="J159" s="5">
        <v>45837</v>
      </c>
      <c r="K159" s="5">
        <v>45848</v>
      </c>
      <c r="L159" s="5">
        <v>45849</v>
      </c>
      <c r="M159" s="7">
        <v>2880130.57</v>
      </c>
      <c r="N159" s="7">
        <v>2785662.29</v>
      </c>
      <c r="O159" s="8">
        <v>-3.28</v>
      </c>
      <c r="P159" s="8" t="str">
        <f>IF(O159&lt;0,"Below",IF(O159&gt;0,"Above","Equals"))</f>
        <v>Below</v>
      </c>
      <c r="Q159" s="4" t="s">
        <v>337</v>
      </c>
      <c r="R159" s="5"/>
      <c r="S159" s="6"/>
      <c r="U159" s="12">
        <v>4</v>
      </c>
      <c r="V159" s="4">
        <v>1105</v>
      </c>
      <c r="W159" s="14">
        <v>45877</v>
      </c>
      <c r="X159" s="4" t="s">
        <v>50</v>
      </c>
      <c r="Y159" s="13">
        <v>153</v>
      </c>
      <c r="Z159" s="14">
        <v>45911</v>
      </c>
      <c r="AA159" s="4" t="s">
        <v>299</v>
      </c>
      <c r="AB159" s="4" t="s">
        <v>537</v>
      </c>
      <c r="AC159" s="33" t="s">
        <v>650</v>
      </c>
      <c r="AD159" s="9">
        <v>140000</v>
      </c>
      <c r="AE159" s="5">
        <v>45889</v>
      </c>
      <c r="AF159" s="11"/>
      <c r="AG159" s="11"/>
      <c r="AI159" s="9"/>
      <c r="AJ159" s="11"/>
      <c r="AK159" s="4">
        <v>1298</v>
      </c>
      <c r="AL159" s="14">
        <v>45911</v>
      </c>
    </row>
    <row r="160" spans="1:38" ht="29">
      <c r="A160" s="4" t="s">
        <v>50</v>
      </c>
      <c r="B160" s="4">
        <v>8</v>
      </c>
      <c r="C160" s="4">
        <v>114</v>
      </c>
      <c r="D160" s="6" t="s">
        <v>365</v>
      </c>
      <c r="E160" s="4" t="s">
        <v>11</v>
      </c>
      <c r="F160" s="4" t="str" cm="1">
        <f t="array" ref="F160">_xlfn.IFS(
  E160="Mahuva", "Mahuva",
  E160="Jesar", "Mahuva",
  E160="Palitana", "Palitana",
  E160="Gariyadhar", "Palitana",
  E160="Talaja", "Talaja",
  E160="Vallabhipur", "Vallabhipur",
  E160="Umrala", "Vallabhipur",
  E160="Shihor", "Shihor",
  E160="Ghogha", "Bhavnagar",
  E160="Bhavnagar", "Bhavnagar"
)</f>
        <v>Shihor</v>
      </c>
      <c r="G160" s="4" t="s">
        <v>206</v>
      </c>
      <c r="H160" s="4">
        <v>200223</v>
      </c>
      <c r="I160" s="4">
        <v>1</v>
      </c>
      <c r="J160" s="5">
        <v>45837</v>
      </c>
      <c r="K160" s="5">
        <v>45848</v>
      </c>
      <c r="L160" s="5">
        <v>45849</v>
      </c>
      <c r="M160" s="7">
        <v>1634615.63</v>
      </c>
      <c r="N160" s="7">
        <v>1547490.62</v>
      </c>
      <c r="O160" s="8">
        <v>-5.33</v>
      </c>
      <c r="P160" s="8" t="str">
        <f>IF(O160&lt;0,"Below",IF(O160&gt;0,"Above","Equals"))</f>
        <v>Below</v>
      </c>
      <c r="Q160" s="4" t="s">
        <v>364</v>
      </c>
      <c r="R160" s="5"/>
      <c r="S160" s="6"/>
      <c r="U160" s="12">
        <v>4</v>
      </c>
      <c r="V160" s="4">
        <v>1004</v>
      </c>
      <c r="W160" s="14">
        <v>45861</v>
      </c>
      <c r="X160" s="4" t="s">
        <v>50</v>
      </c>
      <c r="Y160" s="13">
        <v>85</v>
      </c>
      <c r="Z160" s="26">
        <v>45887</v>
      </c>
      <c r="AA160" s="4" t="s">
        <v>299</v>
      </c>
      <c r="AB160" s="4" t="s">
        <v>312</v>
      </c>
      <c r="AC160" s="33">
        <v>44347721147</v>
      </c>
      <c r="AD160" s="9">
        <v>78000</v>
      </c>
      <c r="AE160" s="5">
        <v>45874</v>
      </c>
      <c r="AF160" s="11"/>
      <c r="AG160" s="11"/>
      <c r="AI160" s="9"/>
      <c r="AJ160" s="11"/>
      <c r="AK160" s="4">
        <v>1164</v>
      </c>
      <c r="AL160" s="14">
        <v>45887</v>
      </c>
    </row>
    <row r="161" spans="1:38" ht="29">
      <c r="A161" s="4" t="s">
        <v>50</v>
      </c>
      <c r="B161" s="4">
        <v>8</v>
      </c>
      <c r="C161" s="4">
        <v>115</v>
      </c>
      <c r="D161" s="6" t="s">
        <v>374</v>
      </c>
      <c r="E161" s="4" t="s">
        <v>11</v>
      </c>
      <c r="F161" s="4" t="str" cm="1">
        <f t="array" ref="F161">_xlfn.IFS(
  E161="Mahuva", "Mahuva",
  E161="Jesar", "Mahuva",
  E161="Palitana", "Palitana",
  E161="Gariyadhar", "Palitana",
  E161="Talaja", "Talaja",
  E161="Vallabhipur", "Vallabhipur",
  E161="Umrala", "Vallabhipur",
  E161="Shihor", "Shihor",
  E161="Ghogha", "Bhavnagar",
  E161="Bhavnagar", "Bhavnagar"
)</f>
        <v>Shihor</v>
      </c>
      <c r="G161" s="4" t="s">
        <v>206</v>
      </c>
      <c r="H161" s="4">
        <v>200224</v>
      </c>
      <c r="I161" s="4">
        <v>1</v>
      </c>
      <c r="J161" s="5">
        <v>45837</v>
      </c>
      <c r="K161" s="5">
        <v>45848</v>
      </c>
      <c r="L161" s="5">
        <v>45849</v>
      </c>
      <c r="M161" s="7">
        <v>1634615.63</v>
      </c>
      <c r="N161" s="7">
        <v>1471317.53</v>
      </c>
      <c r="O161" s="8">
        <v>-9.99</v>
      </c>
      <c r="P161" s="8" t="str">
        <f>IF(O161&lt;0,"Below",IF(O161&gt;0,"Above","Equals"))</f>
        <v>Below</v>
      </c>
      <c r="Q161" s="4" t="s">
        <v>231</v>
      </c>
      <c r="R161" s="5"/>
      <c r="S161" s="6"/>
      <c r="U161" s="12">
        <v>4</v>
      </c>
      <c r="V161" s="4">
        <v>1005</v>
      </c>
      <c r="W161" s="14">
        <v>45861</v>
      </c>
      <c r="X161" s="4" t="s">
        <v>50</v>
      </c>
      <c r="Y161" s="13">
        <v>130</v>
      </c>
      <c r="Z161" s="26">
        <v>45901</v>
      </c>
      <c r="AA161" s="4" t="s">
        <v>299</v>
      </c>
      <c r="AB161" s="4" t="s">
        <v>312</v>
      </c>
      <c r="AC161" s="33">
        <v>44407093384</v>
      </c>
      <c r="AD161" s="9">
        <v>74000</v>
      </c>
      <c r="AE161" s="5">
        <v>45895</v>
      </c>
      <c r="AF161" s="11"/>
      <c r="AG161" s="11"/>
      <c r="AI161" s="9"/>
      <c r="AJ161" s="11"/>
      <c r="AK161" s="4">
        <v>1237</v>
      </c>
      <c r="AL161" s="14">
        <v>45901</v>
      </c>
    </row>
    <row r="162" spans="1:38" ht="29">
      <c r="A162" s="4" t="s">
        <v>50</v>
      </c>
      <c r="B162" s="4">
        <v>8</v>
      </c>
      <c r="C162" s="4">
        <v>116</v>
      </c>
      <c r="D162" s="6" t="s">
        <v>375</v>
      </c>
      <c r="E162" s="4" t="s">
        <v>11</v>
      </c>
      <c r="F162" s="4" t="str" cm="1">
        <f t="array" ref="F162">_xlfn.IFS(
  E162="Mahuva", "Mahuva",
  E162="Jesar", "Mahuva",
  E162="Palitana", "Palitana",
  E162="Gariyadhar", "Palitana",
  E162="Talaja", "Talaja",
  E162="Vallabhipur", "Vallabhipur",
  E162="Umrala", "Vallabhipur",
  E162="Shihor", "Shihor",
  E162="Ghogha", "Bhavnagar",
  E162="Bhavnagar", "Bhavnagar"
)</f>
        <v>Shihor</v>
      </c>
      <c r="G162" s="4" t="s">
        <v>206</v>
      </c>
      <c r="H162" s="4">
        <v>200225</v>
      </c>
      <c r="I162" s="4">
        <v>1</v>
      </c>
      <c r="J162" s="5">
        <v>45837</v>
      </c>
      <c r="K162" s="5">
        <v>45848</v>
      </c>
      <c r="L162" s="5">
        <v>45849</v>
      </c>
      <c r="M162" s="7">
        <v>1634615.63</v>
      </c>
      <c r="N162" s="7">
        <v>1487663.68</v>
      </c>
      <c r="O162" s="8">
        <v>-8.99</v>
      </c>
      <c r="P162" s="8" t="str">
        <f>IF(O162&lt;0,"Below",IF(O162&gt;0,"Above","Equals"))</f>
        <v>Below</v>
      </c>
      <c r="Q162" s="4" t="s">
        <v>231</v>
      </c>
      <c r="R162" s="5"/>
      <c r="S162" s="6"/>
      <c r="U162" s="12">
        <v>4</v>
      </c>
      <c r="V162" s="4">
        <v>1006</v>
      </c>
      <c r="W162" s="14">
        <v>45861</v>
      </c>
      <c r="X162" s="4" t="s">
        <v>50</v>
      </c>
      <c r="Y162" s="13">
        <v>158</v>
      </c>
      <c r="Z162" s="14">
        <v>45911</v>
      </c>
      <c r="AA162" s="4" t="s">
        <v>299</v>
      </c>
      <c r="AB162" s="4" t="s">
        <v>312</v>
      </c>
      <c r="AC162" s="33">
        <v>44407033363</v>
      </c>
      <c r="AD162" s="9">
        <v>75000</v>
      </c>
      <c r="AE162" s="5">
        <v>45899</v>
      </c>
      <c r="AF162" s="11"/>
      <c r="AG162" s="11"/>
      <c r="AI162" s="9"/>
      <c r="AJ162" s="11"/>
      <c r="AK162" s="4">
        <v>1401</v>
      </c>
      <c r="AL162" s="14">
        <v>45931</v>
      </c>
    </row>
    <row r="163" spans="1:38" ht="43.5">
      <c r="A163" s="4" t="s">
        <v>50</v>
      </c>
      <c r="B163" s="4">
        <v>8</v>
      </c>
      <c r="C163" s="4">
        <v>117</v>
      </c>
      <c r="D163" s="6" t="s">
        <v>366</v>
      </c>
      <c r="E163" s="4" t="s">
        <v>2</v>
      </c>
      <c r="F163" s="4" t="str" cm="1">
        <f t="array" ref="F163">_xlfn.IFS(
  E163="Mahuva", "Mahuva",
  E163="Jesar", "Mahuva",
  E163="Palitana", "Palitana",
  E163="Gariyadhar", "Palitana",
  E163="Talaja", "Talaja",
  E163="Vallabhipur", "Vallabhipur",
  E163="Umrala", "Vallabhipur",
  E163="Shihor", "Shihor",
  E163="Ghogha", "Bhavnagar",
  E163="Bhavnagar", "Bhavnagar"
)</f>
        <v>Palitana</v>
      </c>
      <c r="G163" s="4" t="s">
        <v>206</v>
      </c>
      <c r="H163" s="4">
        <v>200227</v>
      </c>
      <c r="I163" s="4">
        <v>1</v>
      </c>
      <c r="J163" s="5">
        <v>45837</v>
      </c>
      <c r="K163" s="5">
        <v>45848</v>
      </c>
      <c r="L163" s="5">
        <v>45849</v>
      </c>
      <c r="M163" s="7">
        <v>1634615.63</v>
      </c>
      <c r="N163" s="7">
        <v>1514798.3</v>
      </c>
      <c r="O163" s="8">
        <v>-7.33</v>
      </c>
      <c r="P163" s="8" t="str">
        <f>IF(O163&lt;0,"Below",IF(O163&gt;0,"Above","Equals"))</f>
        <v>Below</v>
      </c>
      <c r="Q163" s="4" t="s">
        <v>132</v>
      </c>
      <c r="R163" s="5"/>
      <c r="S163" s="6"/>
      <c r="U163" s="12">
        <v>4</v>
      </c>
      <c r="V163" s="4">
        <v>1007</v>
      </c>
      <c r="W163" s="14">
        <v>45861</v>
      </c>
      <c r="X163" s="4" t="s">
        <v>50</v>
      </c>
      <c r="Y163" s="13">
        <v>105</v>
      </c>
      <c r="Z163" s="26">
        <v>45895</v>
      </c>
      <c r="AA163" s="4" t="s">
        <v>299</v>
      </c>
      <c r="AB163" s="4" t="s">
        <v>300</v>
      </c>
      <c r="AC163" s="33">
        <v>78049077886</v>
      </c>
      <c r="AD163" s="9">
        <v>76000</v>
      </c>
      <c r="AE163" s="5">
        <v>45894</v>
      </c>
      <c r="AF163" s="11"/>
      <c r="AG163" s="11"/>
      <c r="AI163" s="9"/>
      <c r="AJ163" s="11"/>
      <c r="AK163" s="4">
        <v>1195</v>
      </c>
      <c r="AL163" s="14">
        <v>45895</v>
      </c>
    </row>
    <row r="164" spans="1:38" ht="29">
      <c r="A164" s="4" t="s">
        <v>50</v>
      </c>
      <c r="B164" s="4">
        <v>8</v>
      </c>
      <c r="C164" s="4">
        <v>118</v>
      </c>
      <c r="D164" s="6" t="s">
        <v>376</v>
      </c>
      <c r="E164" s="4" t="s">
        <v>2</v>
      </c>
      <c r="F164" s="4" t="str" cm="1">
        <f t="array" ref="F164">_xlfn.IFS(
  E164="Mahuva", "Mahuva",
  E164="Jesar", "Mahuva",
  E164="Palitana", "Palitana",
  E164="Gariyadhar", "Palitana",
  E164="Talaja", "Talaja",
  E164="Vallabhipur", "Vallabhipur",
  E164="Umrala", "Vallabhipur",
  E164="Shihor", "Shihor",
  E164="Ghogha", "Bhavnagar",
  E164="Bhavnagar", "Bhavnagar"
)</f>
        <v>Palitana</v>
      </c>
      <c r="G164" s="4" t="s">
        <v>206</v>
      </c>
      <c r="H164" s="4">
        <v>200229</v>
      </c>
      <c r="I164" s="4">
        <v>1</v>
      </c>
      <c r="J164" s="5">
        <v>45837</v>
      </c>
      <c r="K164" s="5">
        <v>45848</v>
      </c>
      <c r="L164" s="5">
        <v>45849</v>
      </c>
      <c r="M164" s="7">
        <v>1634615.63</v>
      </c>
      <c r="N164" s="7">
        <v>1499432.92</v>
      </c>
      <c r="O164" s="8">
        <v>-8.27</v>
      </c>
      <c r="P164" s="8" t="str">
        <f>IF(O164&lt;0,"Below",IF(O164&gt;0,"Above","Equals"))</f>
        <v>Below</v>
      </c>
      <c r="Q164" s="4" t="s">
        <v>342</v>
      </c>
      <c r="R164" s="5"/>
      <c r="S164" s="6"/>
      <c r="U164" s="12">
        <v>4</v>
      </c>
      <c r="V164" s="4">
        <v>1008</v>
      </c>
      <c r="W164" s="14">
        <v>45861</v>
      </c>
      <c r="X164" s="4" t="s">
        <v>50</v>
      </c>
      <c r="Y164" s="13">
        <v>103</v>
      </c>
      <c r="Z164" s="26">
        <v>45894</v>
      </c>
      <c r="AA164" s="4" t="s">
        <v>299</v>
      </c>
      <c r="AB164" s="4" t="s">
        <v>312</v>
      </c>
      <c r="AC164" s="33">
        <v>44393877928</v>
      </c>
      <c r="AD164" s="9">
        <v>75000</v>
      </c>
      <c r="AE164" s="5">
        <v>45890</v>
      </c>
      <c r="AF164" s="11"/>
      <c r="AG164" s="11"/>
      <c r="AI164" s="9"/>
      <c r="AJ164" s="11"/>
      <c r="AK164" s="4">
        <v>1188</v>
      </c>
      <c r="AL164" s="14">
        <v>45894</v>
      </c>
    </row>
    <row r="165" spans="1:38" ht="29">
      <c r="A165" s="4" t="s">
        <v>50</v>
      </c>
      <c r="B165" s="4">
        <v>8</v>
      </c>
      <c r="C165" s="4">
        <v>119</v>
      </c>
      <c r="D165" s="6" t="s">
        <v>377</v>
      </c>
      <c r="E165" s="4" t="s">
        <v>2</v>
      </c>
      <c r="F165" s="4" t="str" cm="1">
        <f t="array" ref="F165">_xlfn.IFS(
  E165="Mahuva", "Mahuva",
  E165="Jesar", "Mahuva",
  E165="Palitana", "Palitana",
  E165="Gariyadhar", "Palitana",
  E165="Talaja", "Talaja",
  E165="Vallabhipur", "Vallabhipur",
  E165="Umrala", "Vallabhipur",
  E165="Shihor", "Shihor",
  E165="Ghogha", "Bhavnagar",
  E165="Bhavnagar", "Bhavnagar"
)</f>
        <v>Palitana</v>
      </c>
      <c r="G165" s="4" t="s">
        <v>206</v>
      </c>
      <c r="H165" s="4">
        <v>200231</v>
      </c>
      <c r="I165" s="4">
        <v>1</v>
      </c>
      <c r="J165" s="5">
        <v>45837</v>
      </c>
      <c r="K165" s="5">
        <v>45848</v>
      </c>
      <c r="L165" s="5">
        <v>45849</v>
      </c>
      <c r="M165" s="7">
        <v>1634615.63</v>
      </c>
      <c r="N165" s="7">
        <v>1499432.92</v>
      </c>
      <c r="O165" s="8">
        <v>-8.27</v>
      </c>
      <c r="P165" s="8" t="str">
        <f>IF(O165&lt;0,"Below",IF(O165&gt;0,"Above","Equals"))</f>
        <v>Below</v>
      </c>
      <c r="Q165" s="4" t="s">
        <v>342</v>
      </c>
      <c r="R165" s="5"/>
      <c r="S165" s="6"/>
      <c r="U165" s="12">
        <v>4</v>
      </c>
      <c r="V165" s="4">
        <v>1009</v>
      </c>
      <c r="W165" s="14">
        <v>45861</v>
      </c>
      <c r="X165" s="4" t="s">
        <v>50</v>
      </c>
      <c r="Y165" s="13">
        <v>104</v>
      </c>
      <c r="Z165" s="26">
        <v>45894</v>
      </c>
      <c r="AA165" s="4" t="s">
        <v>299</v>
      </c>
      <c r="AB165" s="4" t="s">
        <v>312</v>
      </c>
      <c r="AC165" s="33">
        <v>44393950207</v>
      </c>
      <c r="AD165" s="9">
        <v>75000</v>
      </c>
      <c r="AE165" s="5">
        <v>45890</v>
      </c>
      <c r="AF165" s="11"/>
      <c r="AG165" s="11"/>
      <c r="AI165" s="9"/>
      <c r="AJ165" s="11"/>
      <c r="AK165" s="4">
        <v>1189</v>
      </c>
      <c r="AL165" s="14">
        <v>45894</v>
      </c>
    </row>
    <row r="166" spans="1:38" ht="43.5">
      <c r="A166" s="4" t="s">
        <v>50</v>
      </c>
      <c r="B166" s="4">
        <v>8</v>
      </c>
      <c r="C166" s="4">
        <v>120</v>
      </c>
      <c r="D166" s="6" t="s">
        <v>367</v>
      </c>
      <c r="E166" s="4" t="s">
        <v>2</v>
      </c>
      <c r="F166" s="4" t="str" cm="1">
        <f t="array" ref="F166">_xlfn.IFS(
  E166="Mahuva", "Mahuva",
  E166="Jesar", "Mahuva",
  E166="Palitana", "Palitana",
  E166="Gariyadhar", "Palitana",
  E166="Talaja", "Talaja",
  E166="Vallabhipur", "Vallabhipur",
  E166="Umrala", "Vallabhipur",
  E166="Shihor", "Shihor",
  E166="Ghogha", "Bhavnagar",
  E166="Bhavnagar", "Bhavnagar"
)</f>
        <v>Palitana</v>
      </c>
      <c r="G166" s="4" t="s">
        <v>206</v>
      </c>
      <c r="H166" s="4">
        <v>200322</v>
      </c>
      <c r="I166" s="4">
        <v>1</v>
      </c>
      <c r="J166" s="5">
        <v>45837</v>
      </c>
      <c r="K166" s="5">
        <v>45848</v>
      </c>
      <c r="L166" s="5">
        <v>45849</v>
      </c>
      <c r="M166" s="7">
        <v>806983.54</v>
      </c>
      <c r="N166" s="7">
        <v>731691.98</v>
      </c>
      <c r="O166" s="8">
        <v>-9.33</v>
      </c>
      <c r="P166" s="8" t="str">
        <f>IF(O166&lt;0,"Below",IF(O166&gt;0,"Above","Equals"))</f>
        <v>Below</v>
      </c>
      <c r="Q166" s="4" t="s">
        <v>132</v>
      </c>
      <c r="R166" s="5"/>
      <c r="S166" s="6"/>
      <c r="U166" s="12">
        <v>3</v>
      </c>
      <c r="V166" s="4">
        <v>1010</v>
      </c>
      <c r="W166" s="14">
        <v>45861</v>
      </c>
      <c r="X166" s="4" t="s">
        <v>50</v>
      </c>
      <c r="Y166" s="13">
        <v>106</v>
      </c>
      <c r="Z166" s="26">
        <v>45895</v>
      </c>
      <c r="AA166" s="4" t="s">
        <v>299</v>
      </c>
      <c r="AB166" s="4" t="s">
        <v>300</v>
      </c>
      <c r="AC166" s="33">
        <v>78049077842</v>
      </c>
      <c r="AD166" s="9">
        <v>37000</v>
      </c>
      <c r="AE166" s="5">
        <v>45894</v>
      </c>
      <c r="AF166" s="11"/>
      <c r="AG166" s="11"/>
      <c r="AI166" s="9"/>
      <c r="AJ166" s="11"/>
      <c r="AK166" s="4">
        <v>1196</v>
      </c>
      <c r="AL166" s="14">
        <v>45895</v>
      </c>
    </row>
    <row r="167" spans="1:38" ht="43.5">
      <c r="A167" s="4" t="s">
        <v>50</v>
      </c>
      <c r="B167" s="4">
        <v>8</v>
      </c>
      <c r="C167" s="4">
        <v>121</v>
      </c>
      <c r="D167" s="6" t="s">
        <v>368</v>
      </c>
      <c r="E167" s="4" t="s">
        <v>2</v>
      </c>
      <c r="F167" s="4" t="str" cm="1">
        <f t="array" ref="F167">_xlfn.IFS(
  E167="Mahuva", "Mahuva",
  E167="Jesar", "Mahuva",
  E167="Palitana", "Palitana",
  E167="Gariyadhar", "Palitana",
  E167="Talaja", "Talaja",
  E167="Vallabhipur", "Vallabhipur",
  E167="Umrala", "Vallabhipur",
  E167="Shihor", "Shihor",
  E167="Ghogha", "Bhavnagar",
  E167="Bhavnagar", "Bhavnagar"
)</f>
        <v>Palitana</v>
      </c>
      <c r="G167" s="4" t="s">
        <v>206</v>
      </c>
      <c r="H167" s="4">
        <v>200341</v>
      </c>
      <c r="I167" s="4">
        <v>1</v>
      </c>
      <c r="J167" s="5">
        <v>45837</v>
      </c>
      <c r="K167" s="5">
        <v>45848</v>
      </c>
      <c r="L167" s="5">
        <v>45849</v>
      </c>
      <c r="M167" s="7">
        <v>806983.54</v>
      </c>
      <c r="N167" s="7">
        <v>747831.65</v>
      </c>
      <c r="O167" s="8">
        <v>-7.33</v>
      </c>
      <c r="P167" s="8" t="str">
        <f>IF(O167&lt;0,"Below",IF(O167&gt;0,"Above","Equals"))</f>
        <v>Below</v>
      </c>
      <c r="Q167" s="4" t="s">
        <v>132</v>
      </c>
      <c r="R167" s="5"/>
      <c r="S167" s="6"/>
      <c r="U167" s="12">
        <v>3</v>
      </c>
      <c r="V167" s="4">
        <v>1011</v>
      </c>
      <c r="W167" s="14">
        <v>45861</v>
      </c>
      <c r="X167" s="4" t="s">
        <v>50</v>
      </c>
      <c r="Y167" s="13">
        <v>107</v>
      </c>
      <c r="Z167" s="26">
        <v>45895</v>
      </c>
      <c r="AA167" s="4" t="s">
        <v>299</v>
      </c>
      <c r="AB167" s="4" t="s">
        <v>300</v>
      </c>
      <c r="AC167" s="33">
        <v>78049077922</v>
      </c>
      <c r="AD167" s="9">
        <v>38000</v>
      </c>
      <c r="AE167" s="5">
        <v>45894</v>
      </c>
      <c r="AF167" s="11"/>
      <c r="AG167" s="11"/>
      <c r="AI167" s="9"/>
      <c r="AJ167" s="11"/>
      <c r="AK167" s="4">
        <v>1197</v>
      </c>
      <c r="AL167" s="14">
        <v>45895</v>
      </c>
    </row>
    <row r="168" spans="1:38" ht="43.5">
      <c r="A168" s="4" t="s">
        <v>50</v>
      </c>
      <c r="B168" s="4">
        <v>8</v>
      </c>
      <c r="C168" s="4">
        <v>122</v>
      </c>
      <c r="D168" s="6" t="s">
        <v>369</v>
      </c>
      <c r="E168" s="4" t="s">
        <v>2</v>
      </c>
      <c r="F168" s="4" t="str" cm="1">
        <f t="array" ref="F168">_xlfn.IFS(
  E168="Mahuva", "Mahuva",
  E168="Jesar", "Mahuva",
  E168="Palitana", "Palitana",
  E168="Gariyadhar", "Palitana",
  E168="Talaja", "Talaja",
  E168="Vallabhipur", "Vallabhipur",
  E168="Umrala", "Vallabhipur",
  E168="Shihor", "Shihor",
  E168="Ghogha", "Bhavnagar",
  E168="Bhavnagar", "Bhavnagar"
)</f>
        <v>Palitana</v>
      </c>
      <c r="G168" s="4" t="s">
        <v>206</v>
      </c>
      <c r="H168" s="4">
        <v>200352</v>
      </c>
      <c r="I168" s="4">
        <v>1</v>
      </c>
      <c r="J168" s="5">
        <v>45837</v>
      </c>
      <c r="K168" s="5">
        <v>45848</v>
      </c>
      <c r="L168" s="5">
        <v>45849</v>
      </c>
      <c r="M168" s="7">
        <v>806983.54</v>
      </c>
      <c r="N168" s="7">
        <v>723622.14</v>
      </c>
      <c r="O168" s="8">
        <v>-10.33</v>
      </c>
      <c r="P168" s="8" t="str">
        <f>IF(O168&lt;0,"Below",IF(O168&gt;0,"Above","Equals"))</f>
        <v>Below</v>
      </c>
      <c r="Q168" s="4" t="s">
        <v>132</v>
      </c>
      <c r="R168" s="5"/>
      <c r="S168" s="6"/>
      <c r="U168" s="12">
        <v>3</v>
      </c>
      <c r="V168" s="4">
        <v>1012</v>
      </c>
      <c r="W168" s="14">
        <v>45861</v>
      </c>
      <c r="X168" s="4" t="s">
        <v>50</v>
      </c>
      <c r="Y168" s="13">
        <v>114</v>
      </c>
      <c r="Z168" s="26">
        <v>45897</v>
      </c>
      <c r="AA168" s="4" t="s">
        <v>299</v>
      </c>
      <c r="AB168" s="4" t="s">
        <v>300</v>
      </c>
      <c r="AC168" s="33">
        <v>78049076791</v>
      </c>
      <c r="AD168" s="9">
        <v>37000</v>
      </c>
      <c r="AE168" s="5">
        <v>45894</v>
      </c>
      <c r="AF168" s="4" t="s">
        <v>299</v>
      </c>
      <c r="AG168" s="4" t="s">
        <v>300</v>
      </c>
      <c r="AH168" s="33">
        <v>78049106365</v>
      </c>
      <c r="AI168" s="9">
        <v>1000</v>
      </c>
      <c r="AJ168" s="5">
        <v>45897</v>
      </c>
      <c r="AK168" s="4">
        <v>1198</v>
      </c>
      <c r="AL168" s="14">
        <v>45897</v>
      </c>
    </row>
    <row r="169" spans="1:38" ht="43.5">
      <c r="A169" s="4" t="s">
        <v>50</v>
      </c>
      <c r="B169" s="4">
        <v>8</v>
      </c>
      <c r="C169" s="4">
        <v>123</v>
      </c>
      <c r="D169" s="6" t="s">
        <v>370</v>
      </c>
      <c r="E169" s="4" t="s">
        <v>2</v>
      </c>
      <c r="F169" s="4" t="str" cm="1">
        <f t="array" ref="F169">_xlfn.IFS(
  E169="Mahuva", "Mahuva",
  E169="Jesar", "Mahuva",
  E169="Palitana", "Palitana",
  E169="Gariyadhar", "Palitana",
  E169="Talaja", "Talaja",
  E169="Vallabhipur", "Vallabhipur",
  E169="Umrala", "Vallabhipur",
  E169="Shihor", "Shihor",
  E169="Ghogha", "Bhavnagar",
  E169="Bhavnagar", "Bhavnagar"
)</f>
        <v>Palitana</v>
      </c>
      <c r="G169" s="4" t="s">
        <v>206</v>
      </c>
      <c r="H169" s="4">
        <v>200385</v>
      </c>
      <c r="I169" s="4">
        <v>1</v>
      </c>
      <c r="J169" s="5">
        <v>45837</v>
      </c>
      <c r="K169" s="5">
        <v>45848</v>
      </c>
      <c r="L169" s="5">
        <v>45849</v>
      </c>
      <c r="M169" s="7">
        <v>1303576.82</v>
      </c>
      <c r="N169" s="7">
        <v>1210892.51</v>
      </c>
      <c r="O169" s="8">
        <v>-7.11</v>
      </c>
      <c r="P169" s="8" t="str">
        <f>IF(O169&lt;0,"Below",IF(O169&gt;0,"Above","Equals"))</f>
        <v>Below</v>
      </c>
      <c r="Q169" s="4" t="s">
        <v>119</v>
      </c>
      <c r="R169" s="5"/>
      <c r="S169" s="6"/>
      <c r="U169" s="12">
        <v>4</v>
      </c>
      <c r="V169" s="4">
        <v>1013</v>
      </c>
      <c r="W169" s="14">
        <v>45861</v>
      </c>
      <c r="X169" s="4" t="s">
        <v>50</v>
      </c>
      <c r="Y169" s="13">
        <v>81</v>
      </c>
      <c r="Z169" s="26">
        <v>45881</v>
      </c>
      <c r="AA169" s="4" t="s">
        <v>299</v>
      </c>
      <c r="AB169" s="4" t="s">
        <v>300</v>
      </c>
      <c r="AC169" s="33">
        <v>78048848377</v>
      </c>
      <c r="AD169" s="9">
        <v>61000</v>
      </c>
      <c r="AE169" s="5">
        <v>45873</v>
      </c>
      <c r="AF169" s="11"/>
      <c r="AG169" s="11"/>
      <c r="AI169" s="9"/>
      <c r="AJ169" s="11"/>
      <c r="AK169" s="4">
        <v>1059</v>
      </c>
      <c r="AL169" s="14">
        <v>45881</v>
      </c>
    </row>
    <row r="170" spans="1:38" ht="43.5">
      <c r="A170" s="4" t="s">
        <v>50</v>
      </c>
      <c r="B170" s="4">
        <v>8</v>
      </c>
      <c r="C170" s="4">
        <v>124</v>
      </c>
      <c r="D170" s="6" t="s">
        <v>371</v>
      </c>
      <c r="E170" s="4" t="s">
        <v>2</v>
      </c>
      <c r="F170" s="4" t="str" cm="1">
        <f t="array" ref="F170">_xlfn.IFS(
  E170="Mahuva", "Mahuva",
  E170="Jesar", "Mahuva",
  E170="Palitana", "Palitana",
  E170="Gariyadhar", "Palitana",
  E170="Talaja", "Talaja",
  E170="Vallabhipur", "Vallabhipur",
  E170="Umrala", "Vallabhipur",
  E170="Shihor", "Shihor",
  E170="Ghogha", "Bhavnagar",
  E170="Bhavnagar", "Bhavnagar"
)</f>
        <v>Palitana</v>
      </c>
      <c r="G170" s="4" t="s">
        <v>206</v>
      </c>
      <c r="H170" s="4">
        <v>200392</v>
      </c>
      <c r="I170" s="4">
        <v>1</v>
      </c>
      <c r="J170" s="5">
        <v>45837</v>
      </c>
      <c r="K170" s="5">
        <v>45848</v>
      </c>
      <c r="L170" s="5">
        <v>45849</v>
      </c>
      <c r="M170" s="7">
        <v>2420954.2000000002</v>
      </c>
      <c r="N170" s="7">
        <v>2170869.63</v>
      </c>
      <c r="O170" s="8">
        <v>-10.33</v>
      </c>
      <c r="P170" s="8" t="str">
        <f>IF(O170&lt;0,"Below",IF(O170&gt;0,"Above","Equals"))</f>
        <v>Below</v>
      </c>
      <c r="Q170" s="4" t="s">
        <v>132</v>
      </c>
      <c r="R170" s="5"/>
      <c r="S170" s="6"/>
      <c r="U170" s="12">
        <v>4</v>
      </c>
      <c r="V170" s="4">
        <v>1014</v>
      </c>
      <c r="W170" s="14">
        <v>45861</v>
      </c>
      <c r="X170" s="4" t="s">
        <v>50</v>
      </c>
      <c r="Y170" s="13">
        <v>115</v>
      </c>
      <c r="Z170" s="26">
        <v>45897</v>
      </c>
      <c r="AA170" s="4" t="s">
        <v>299</v>
      </c>
      <c r="AB170" s="4" t="s">
        <v>300</v>
      </c>
      <c r="AC170" s="33">
        <v>78049077853</v>
      </c>
      <c r="AD170" s="9">
        <v>109000</v>
      </c>
      <c r="AE170" s="5">
        <v>45894</v>
      </c>
      <c r="AF170" s="4" t="s">
        <v>299</v>
      </c>
      <c r="AG170" s="4" t="s">
        <v>300</v>
      </c>
      <c r="AH170" s="33">
        <v>78049106332</v>
      </c>
      <c r="AI170" s="9">
        <v>2000</v>
      </c>
      <c r="AJ170" s="5">
        <v>45897</v>
      </c>
      <c r="AK170" s="4">
        <v>1199</v>
      </c>
      <c r="AL170" s="14">
        <v>45897</v>
      </c>
    </row>
    <row r="171" spans="1:38" ht="43.5">
      <c r="A171" s="4" t="s">
        <v>50</v>
      </c>
      <c r="B171" s="4">
        <v>8</v>
      </c>
      <c r="C171" s="4">
        <v>126</v>
      </c>
      <c r="D171" s="6" t="s">
        <v>388</v>
      </c>
      <c r="E171" s="4" t="s">
        <v>2</v>
      </c>
      <c r="F171" s="4" t="str" cm="1">
        <f t="array" ref="F171">_xlfn.IFS(
  E171="Mahuva", "Mahuva",
  E171="Jesar", "Mahuva",
  E171="Palitana", "Palitana",
  E171="Gariyadhar", "Palitana",
  E171="Talaja", "Talaja",
  E171="Vallabhipur", "Vallabhipur",
  E171="Umrala", "Vallabhipur",
  E171="Shihor", "Shihor",
  E171="Ghogha", "Bhavnagar",
  E171="Bhavnagar", "Bhavnagar"
)</f>
        <v>Palitana</v>
      </c>
      <c r="G171" s="4" t="s">
        <v>206</v>
      </c>
      <c r="H171" s="4">
        <v>200400</v>
      </c>
      <c r="I171" s="4">
        <v>1</v>
      </c>
      <c r="J171" s="5">
        <v>45837</v>
      </c>
      <c r="K171" s="5">
        <v>45848</v>
      </c>
      <c r="L171" s="5">
        <v>45849</v>
      </c>
      <c r="M171" s="7">
        <v>2420954.2000000002</v>
      </c>
      <c r="N171" s="7">
        <v>2122450.5499999998</v>
      </c>
      <c r="O171" s="8">
        <v>-12.33</v>
      </c>
      <c r="P171" s="8" t="str">
        <f>IF(O171&lt;0,"Below",IF(O171&gt;0,"Above","Equals"))</f>
        <v>Below</v>
      </c>
      <c r="Q171" s="4" t="s">
        <v>132</v>
      </c>
      <c r="R171" s="5"/>
      <c r="S171" s="6"/>
      <c r="U171" s="12">
        <v>4</v>
      </c>
      <c r="V171" s="4">
        <v>1015</v>
      </c>
      <c r="W171" s="14">
        <v>45861</v>
      </c>
      <c r="X171" s="4" t="s">
        <v>50</v>
      </c>
      <c r="Y171" s="13">
        <v>116</v>
      </c>
      <c r="Z171" s="26">
        <v>45897</v>
      </c>
      <c r="AA171" s="4" t="s">
        <v>299</v>
      </c>
      <c r="AB171" s="4" t="s">
        <v>300</v>
      </c>
      <c r="AC171" s="33">
        <v>78049077864</v>
      </c>
      <c r="AD171" s="9">
        <v>107000</v>
      </c>
      <c r="AE171" s="5">
        <v>45894</v>
      </c>
      <c r="AF171" s="4" t="s">
        <v>299</v>
      </c>
      <c r="AG171" s="4" t="s">
        <v>300</v>
      </c>
      <c r="AH171" s="33">
        <v>78049106321</v>
      </c>
      <c r="AI171" s="9">
        <v>12000</v>
      </c>
      <c r="AJ171" s="5">
        <v>45897</v>
      </c>
      <c r="AK171" s="4">
        <v>1200</v>
      </c>
      <c r="AL171" s="14">
        <v>45897</v>
      </c>
    </row>
    <row r="172" spans="1:38" ht="29">
      <c r="A172" s="4" t="s">
        <v>50</v>
      </c>
      <c r="B172" s="4">
        <v>8</v>
      </c>
      <c r="C172" s="4">
        <v>127</v>
      </c>
      <c r="D172" s="6" t="s">
        <v>389</v>
      </c>
      <c r="E172" s="4" t="s">
        <v>3</v>
      </c>
      <c r="F172" s="4" t="str" cm="1">
        <f t="array" ref="F172">_xlfn.IFS(
  E172="Mahuva", "Mahuva",
  E172="Jesar", "Mahuva",
  E172="Palitana", "Palitana",
  E172="Gariyadhar", "Palitana",
  E172="Talaja", "Talaja",
  E172="Vallabhipur", "Vallabhipur",
  E172="Umrala", "Vallabhipur",
  E172="Shihor", "Shihor",
  E172="Ghogha", "Bhavnagar",
  E172="Bhavnagar", "Bhavnagar"
)</f>
        <v>Talaja</v>
      </c>
      <c r="G172" s="4" t="s">
        <v>206</v>
      </c>
      <c r="H172" s="4">
        <v>200232</v>
      </c>
      <c r="I172" s="4">
        <v>1</v>
      </c>
      <c r="J172" s="5">
        <v>45837</v>
      </c>
      <c r="K172" s="5">
        <v>45848</v>
      </c>
      <c r="L172" s="5">
        <v>45849</v>
      </c>
      <c r="M172" s="7">
        <v>1634615.63</v>
      </c>
      <c r="N172" s="7">
        <v>1514961.77</v>
      </c>
      <c r="O172" s="8">
        <v>-7.32</v>
      </c>
      <c r="P172" s="8" t="str">
        <f>IF(O172&lt;0,"Below",IF(O172&gt;0,"Above","Equals"))</f>
        <v>Below</v>
      </c>
      <c r="Q172" s="4" t="s">
        <v>334</v>
      </c>
      <c r="R172" s="5"/>
      <c r="S172" s="6"/>
      <c r="U172" s="12">
        <v>4</v>
      </c>
      <c r="V172" s="4">
        <v>1016</v>
      </c>
      <c r="W172" s="14">
        <v>45861</v>
      </c>
      <c r="X172" s="4" t="s">
        <v>50</v>
      </c>
      <c r="Y172" s="13">
        <v>82</v>
      </c>
      <c r="Z172" s="26">
        <v>45881</v>
      </c>
      <c r="AA172" s="4" t="s">
        <v>299</v>
      </c>
      <c r="AB172" s="4" t="s">
        <v>537</v>
      </c>
      <c r="AC172" s="33">
        <v>771613001573</v>
      </c>
      <c r="AD172" s="9">
        <v>76000</v>
      </c>
      <c r="AE172" s="5">
        <v>45868</v>
      </c>
      <c r="AF172" s="11"/>
      <c r="AG172" s="11"/>
      <c r="AI172" s="9"/>
      <c r="AJ172" s="11"/>
      <c r="AK172" s="4">
        <v>1060</v>
      </c>
      <c r="AL172" s="14">
        <v>45881</v>
      </c>
    </row>
    <row r="173" spans="1:38" ht="29">
      <c r="A173" s="4" t="s">
        <v>50</v>
      </c>
      <c r="B173" s="4">
        <v>8</v>
      </c>
      <c r="C173" s="4">
        <v>128</v>
      </c>
      <c r="D173" s="6" t="s">
        <v>378</v>
      </c>
      <c r="E173" s="4" t="s">
        <v>3</v>
      </c>
      <c r="F173" s="4" t="str" cm="1">
        <f t="array" ref="F173">_xlfn.IFS(
  E173="Mahuva", "Mahuva",
  E173="Jesar", "Mahuva",
  E173="Palitana", "Palitana",
  E173="Gariyadhar", "Palitana",
  E173="Talaja", "Talaja",
  E173="Vallabhipur", "Vallabhipur",
  E173="Umrala", "Vallabhipur",
  E173="Shihor", "Shihor",
  E173="Ghogha", "Bhavnagar",
  E173="Bhavnagar", "Bhavnagar"
)</f>
        <v>Talaja</v>
      </c>
      <c r="G173" s="4" t="s">
        <v>206</v>
      </c>
      <c r="H173" s="4">
        <v>200234</v>
      </c>
      <c r="I173" s="4">
        <v>1</v>
      </c>
      <c r="J173" s="5">
        <v>45837</v>
      </c>
      <c r="K173" s="5">
        <v>45848</v>
      </c>
      <c r="L173" s="5">
        <v>45849</v>
      </c>
      <c r="M173" s="7">
        <v>1634615.63</v>
      </c>
      <c r="N173" s="7">
        <v>1580182.93</v>
      </c>
      <c r="O173" s="8">
        <v>-3.33</v>
      </c>
      <c r="P173" s="8" t="str">
        <f>IF(O173&lt;0,"Below",IF(O173&gt;0,"Above","Equals"))</f>
        <v>Below</v>
      </c>
      <c r="Q173" s="4" t="s">
        <v>332</v>
      </c>
      <c r="R173" s="5"/>
      <c r="S173" s="6"/>
      <c r="U173" s="12">
        <v>4</v>
      </c>
      <c r="V173" s="4">
        <v>1017</v>
      </c>
      <c r="W173" s="14">
        <v>45861</v>
      </c>
      <c r="X173" s="4" t="s">
        <v>50</v>
      </c>
      <c r="Y173" s="13">
        <v>101</v>
      </c>
      <c r="Z173" s="26">
        <v>45894</v>
      </c>
      <c r="AA173" s="4" t="s">
        <v>299</v>
      </c>
      <c r="AB173" s="4" t="s">
        <v>312</v>
      </c>
      <c r="AC173" s="33">
        <v>44378510403</v>
      </c>
      <c r="AD173" s="9">
        <v>80000</v>
      </c>
      <c r="AE173" s="5">
        <v>45883</v>
      </c>
      <c r="AF173" s="11"/>
      <c r="AG173" s="11"/>
      <c r="AI173" s="9"/>
      <c r="AJ173" s="11"/>
      <c r="AK173" s="4">
        <v>1186</v>
      </c>
      <c r="AL173" s="14">
        <v>45894</v>
      </c>
    </row>
    <row r="174" spans="1:38" ht="29">
      <c r="A174" s="4" t="s">
        <v>50</v>
      </c>
      <c r="B174" s="4">
        <v>8</v>
      </c>
      <c r="C174" s="4">
        <v>129</v>
      </c>
      <c r="D174" s="6" t="s">
        <v>379</v>
      </c>
      <c r="E174" s="4" t="s">
        <v>3</v>
      </c>
      <c r="F174" s="4" t="str" cm="1">
        <f t="array" ref="F174">_xlfn.IFS(
  E174="Mahuva", "Mahuva",
  E174="Jesar", "Mahuva",
  E174="Palitana", "Palitana",
  E174="Gariyadhar", "Palitana",
  E174="Talaja", "Talaja",
  E174="Vallabhipur", "Vallabhipur",
  E174="Umrala", "Vallabhipur",
  E174="Shihor", "Shihor",
  E174="Ghogha", "Bhavnagar",
  E174="Bhavnagar", "Bhavnagar"
)</f>
        <v>Talaja</v>
      </c>
      <c r="G174" s="4" t="s">
        <v>206</v>
      </c>
      <c r="H174" s="4">
        <v>200236</v>
      </c>
      <c r="I174" s="4">
        <v>1</v>
      </c>
      <c r="J174" s="5">
        <v>45837</v>
      </c>
      <c r="K174" s="5">
        <v>45848</v>
      </c>
      <c r="L174" s="5">
        <v>45849</v>
      </c>
      <c r="M174" s="7">
        <v>1634615.63</v>
      </c>
      <c r="N174" s="7">
        <v>1522154.07</v>
      </c>
      <c r="O174" s="8">
        <v>-6.88</v>
      </c>
      <c r="P174" s="8" t="str">
        <f>IF(O174&lt;0,"Below",IF(O174&gt;0,"Above","Equals"))</f>
        <v>Below</v>
      </c>
      <c r="Q174" s="4" t="s">
        <v>332</v>
      </c>
      <c r="R174" s="5"/>
      <c r="S174" s="6"/>
      <c r="U174" s="12">
        <v>4</v>
      </c>
      <c r="V174" s="4">
        <v>1018</v>
      </c>
      <c r="W174" s="14">
        <v>45861</v>
      </c>
      <c r="X174" s="4" t="s">
        <v>50</v>
      </c>
      <c r="Y174" s="13">
        <v>160</v>
      </c>
      <c r="Z174" s="26">
        <v>45922</v>
      </c>
      <c r="AA174" s="4" t="s">
        <v>299</v>
      </c>
      <c r="AB174" s="4" t="s">
        <v>312</v>
      </c>
      <c r="AC174" s="33">
        <v>44347236849</v>
      </c>
      <c r="AD174" s="9">
        <v>78000</v>
      </c>
      <c r="AE174" s="5">
        <v>45912</v>
      </c>
      <c r="AF174" s="11"/>
      <c r="AG174" s="11"/>
      <c r="AI174" s="9"/>
      <c r="AJ174" s="11"/>
      <c r="AK174" s="4">
        <v>1373</v>
      </c>
      <c r="AL174" s="14">
        <v>45922</v>
      </c>
    </row>
    <row r="175" spans="1:38" ht="43.5">
      <c r="A175" s="4" t="s">
        <v>50</v>
      </c>
      <c r="B175" s="4">
        <v>8</v>
      </c>
      <c r="C175" s="4">
        <v>130</v>
      </c>
      <c r="D175" s="6" t="s">
        <v>380</v>
      </c>
      <c r="E175" s="4" t="s">
        <v>3</v>
      </c>
      <c r="F175" s="4" t="str" cm="1">
        <f t="array" ref="F175">_xlfn.IFS(
  E175="Mahuva", "Mahuva",
  E175="Jesar", "Mahuva",
  E175="Palitana", "Palitana",
  E175="Gariyadhar", "Palitana",
  E175="Talaja", "Talaja",
  E175="Vallabhipur", "Vallabhipur",
  E175="Umrala", "Vallabhipur",
  E175="Shihor", "Shihor",
  E175="Ghogha", "Bhavnagar",
  E175="Bhavnagar", "Bhavnagar"
)</f>
        <v>Talaja</v>
      </c>
      <c r="G175" s="4" t="s">
        <v>206</v>
      </c>
      <c r="H175" s="4">
        <v>200237</v>
      </c>
      <c r="I175" s="4">
        <v>1</v>
      </c>
      <c r="J175" s="5">
        <v>45837</v>
      </c>
      <c r="K175" s="5">
        <v>45848</v>
      </c>
      <c r="L175" s="5">
        <v>45849</v>
      </c>
      <c r="M175" s="7">
        <v>1634615.63</v>
      </c>
      <c r="N175" s="7">
        <v>1607481.01</v>
      </c>
      <c r="O175" s="8">
        <v>-1.66</v>
      </c>
      <c r="P175" s="8" t="str">
        <f>IF(O175&lt;0,"Below",IF(O175&gt;0,"Above","Equals"))</f>
        <v>Below</v>
      </c>
      <c r="Q175" s="4" t="s">
        <v>352</v>
      </c>
      <c r="R175" s="5"/>
      <c r="S175" s="6"/>
      <c r="U175" s="12">
        <v>4</v>
      </c>
      <c r="V175" s="4">
        <v>1019</v>
      </c>
      <c r="W175" s="14">
        <v>45861</v>
      </c>
      <c r="X175" s="4" t="s">
        <v>50</v>
      </c>
      <c r="Y175" s="13">
        <v>77</v>
      </c>
      <c r="Z175" s="26">
        <v>45881</v>
      </c>
      <c r="AA175" s="4" t="s">
        <v>299</v>
      </c>
      <c r="AB175" s="4" t="s">
        <v>312</v>
      </c>
      <c r="AC175" s="33">
        <v>44339292582</v>
      </c>
      <c r="AD175" s="9">
        <v>81000</v>
      </c>
      <c r="AE175" s="5">
        <v>45871</v>
      </c>
      <c r="AF175" s="11"/>
      <c r="AG175" s="11"/>
      <c r="AI175" s="9"/>
      <c r="AJ175" s="11"/>
      <c r="AK175" s="4">
        <v>1055</v>
      </c>
      <c r="AL175" s="14">
        <v>45881</v>
      </c>
    </row>
    <row r="176" spans="1:38" ht="29">
      <c r="A176" s="4" t="s">
        <v>50</v>
      </c>
      <c r="B176" s="4">
        <v>8</v>
      </c>
      <c r="C176" s="4">
        <v>131</v>
      </c>
      <c r="D176" s="6" t="s">
        <v>381</v>
      </c>
      <c r="E176" s="4" t="s">
        <v>3</v>
      </c>
      <c r="F176" s="4" t="str" cm="1">
        <f t="array" ref="F176">_xlfn.IFS(
  E176="Mahuva", "Mahuva",
  E176="Jesar", "Mahuva",
  E176="Palitana", "Palitana",
  E176="Gariyadhar", "Palitana",
  E176="Talaja", "Talaja",
  E176="Vallabhipur", "Vallabhipur",
  E176="Umrala", "Vallabhipur",
  E176="Shihor", "Shihor",
  E176="Ghogha", "Bhavnagar",
  E176="Bhavnagar", "Bhavnagar"
)</f>
        <v>Talaja</v>
      </c>
      <c r="G176" s="4" t="s">
        <v>206</v>
      </c>
      <c r="H176" s="4">
        <v>200360</v>
      </c>
      <c r="I176" s="4">
        <v>1</v>
      </c>
      <c r="J176" s="5">
        <v>45837</v>
      </c>
      <c r="K176" s="5">
        <v>45848</v>
      </c>
      <c r="L176" s="5">
        <v>45849</v>
      </c>
      <c r="M176" s="7">
        <v>806983.54</v>
      </c>
      <c r="N176" s="7">
        <v>772928.83</v>
      </c>
      <c r="O176" s="8">
        <v>-4.22</v>
      </c>
      <c r="P176" s="8" t="str">
        <f>IF(O176&lt;0,"Below",IF(O176&gt;0,"Above","Equals"))</f>
        <v>Below</v>
      </c>
      <c r="Q176" s="4" t="s">
        <v>351</v>
      </c>
      <c r="R176" s="5"/>
      <c r="S176" s="6"/>
      <c r="U176" s="12">
        <v>3</v>
      </c>
      <c r="V176" s="4">
        <v>1020</v>
      </c>
      <c r="W176" s="14">
        <v>45861</v>
      </c>
      <c r="X176" s="4" t="s">
        <v>50</v>
      </c>
      <c r="Y176" s="13">
        <v>129</v>
      </c>
      <c r="Z176" s="26">
        <v>45901</v>
      </c>
      <c r="AA176" s="4" t="s">
        <v>299</v>
      </c>
      <c r="AB176" s="4" t="s">
        <v>312</v>
      </c>
      <c r="AC176" s="33">
        <v>44344833241</v>
      </c>
      <c r="AD176" s="9">
        <v>39000</v>
      </c>
      <c r="AE176" s="5">
        <v>45873</v>
      </c>
      <c r="AF176" s="11"/>
      <c r="AG176" s="11"/>
      <c r="AI176" s="9"/>
      <c r="AJ176" s="11"/>
      <c r="AK176" s="4">
        <v>1236</v>
      </c>
      <c r="AL176" s="14">
        <v>45901</v>
      </c>
    </row>
    <row r="177" spans="1:38" ht="43.5">
      <c r="A177" s="4" t="s">
        <v>50</v>
      </c>
      <c r="B177" s="4">
        <v>8</v>
      </c>
      <c r="C177" s="4">
        <v>132</v>
      </c>
      <c r="D177" s="6" t="s">
        <v>372</v>
      </c>
      <c r="E177" s="4" t="s">
        <v>3</v>
      </c>
      <c r="F177" s="4" t="str" cm="1">
        <f t="array" ref="F177">_xlfn.IFS(
  E177="Mahuva", "Mahuva",
  E177="Jesar", "Mahuva",
  E177="Palitana", "Palitana",
  E177="Gariyadhar", "Palitana",
  E177="Talaja", "Talaja",
  E177="Vallabhipur", "Vallabhipur",
  E177="Umrala", "Vallabhipur",
  E177="Shihor", "Shihor",
  E177="Ghogha", "Bhavnagar",
  E177="Bhavnagar", "Bhavnagar"
)</f>
        <v>Talaja</v>
      </c>
      <c r="G177" s="4" t="s">
        <v>206</v>
      </c>
      <c r="H177" s="4">
        <v>200362</v>
      </c>
      <c r="I177" s="4">
        <v>1</v>
      </c>
      <c r="J177" s="5">
        <v>45837</v>
      </c>
      <c r="K177" s="5">
        <v>45848</v>
      </c>
      <c r="L177" s="5">
        <v>45849</v>
      </c>
      <c r="M177" s="7">
        <v>806983.54</v>
      </c>
      <c r="N177" s="7">
        <v>776318.17</v>
      </c>
      <c r="O177" s="8">
        <v>-3.8</v>
      </c>
      <c r="P177" s="8" t="str">
        <f>IF(O177&lt;0,"Below",IF(O177&gt;0,"Above","Equals"))</f>
        <v>Below</v>
      </c>
      <c r="Q177" s="4" t="s">
        <v>128</v>
      </c>
      <c r="R177" s="5"/>
      <c r="S177" s="6"/>
      <c r="U177" s="12">
        <v>3</v>
      </c>
      <c r="V177" s="4">
        <v>1021</v>
      </c>
      <c r="W177" s="14">
        <v>45861</v>
      </c>
      <c r="X177" s="4" t="s">
        <v>50</v>
      </c>
      <c r="Y177" s="13">
        <v>79</v>
      </c>
      <c r="Z177" s="26">
        <v>45881</v>
      </c>
      <c r="AA177" s="4" t="s">
        <v>299</v>
      </c>
      <c r="AB177" s="4" t="s">
        <v>300</v>
      </c>
      <c r="AC177" s="33">
        <v>78048938022</v>
      </c>
      <c r="AD177" s="9">
        <v>39000</v>
      </c>
      <c r="AE177" s="5">
        <v>45880</v>
      </c>
      <c r="AF177" s="11"/>
      <c r="AG177" s="11"/>
      <c r="AI177" s="9"/>
      <c r="AJ177" s="11"/>
      <c r="AK177" s="4">
        <v>1057</v>
      </c>
      <c r="AL177" s="14">
        <v>45881</v>
      </c>
    </row>
    <row r="178" spans="1:38" ht="43.5">
      <c r="A178" s="4" t="s">
        <v>50</v>
      </c>
      <c r="B178" s="4">
        <v>8</v>
      </c>
      <c r="C178" s="4">
        <v>133</v>
      </c>
      <c r="D178" s="6" t="s">
        <v>373</v>
      </c>
      <c r="E178" s="4" t="s">
        <v>3</v>
      </c>
      <c r="F178" s="4" t="str" cm="1">
        <f t="array" ref="F178">_xlfn.IFS(
  E178="Mahuva", "Mahuva",
  E178="Jesar", "Mahuva",
  E178="Palitana", "Palitana",
  E178="Gariyadhar", "Palitana",
  E178="Talaja", "Talaja",
  E178="Vallabhipur", "Vallabhipur",
  E178="Umrala", "Vallabhipur",
  E178="Shihor", "Shihor",
  E178="Ghogha", "Bhavnagar",
  E178="Bhavnagar", "Bhavnagar"
)</f>
        <v>Talaja</v>
      </c>
      <c r="G178" s="4" t="s">
        <v>206</v>
      </c>
      <c r="H178" s="4">
        <v>200365</v>
      </c>
      <c r="I178" s="4">
        <v>1</v>
      </c>
      <c r="J178" s="5">
        <v>45837</v>
      </c>
      <c r="K178" s="5">
        <v>45848</v>
      </c>
      <c r="L178" s="5">
        <v>45849</v>
      </c>
      <c r="M178" s="7">
        <v>806983.54</v>
      </c>
      <c r="N178" s="7">
        <v>765746.68</v>
      </c>
      <c r="O178" s="8">
        <v>-5.1100000000000003</v>
      </c>
      <c r="P178" s="8" t="str">
        <f>IF(O178&lt;0,"Below",IF(O178&gt;0,"Above","Equals"))</f>
        <v>Below</v>
      </c>
      <c r="Q178" s="4" t="s">
        <v>128</v>
      </c>
      <c r="R178" s="5"/>
      <c r="S178" s="6"/>
      <c r="U178" s="12">
        <v>3</v>
      </c>
      <c r="V178" s="4">
        <v>1022</v>
      </c>
      <c r="W178" s="14">
        <v>45861</v>
      </c>
      <c r="X178" s="4" t="s">
        <v>50</v>
      </c>
      <c r="Y178" s="13">
        <v>78</v>
      </c>
      <c r="Z178" s="26">
        <v>45881</v>
      </c>
      <c r="AA178" s="4" t="s">
        <v>299</v>
      </c>
      <c r="AB178" s="4" t="s">
        <v>300</v>
      </c>
      <c r="AC178" s="33">
        <v>78048938044</v>
      </c>
      <c r="AD178" s="9">
        <v>39000</v>
      </c>
      <c r="AE178" s="5">
        <v>45880</v>
      </c>
      <c r="AF178" s="11"/>
      <c r="AG178" s="11"/>
      <c r="AI178" s="9"/>
      <c r="AJ178" s="11"/>
      <c r="AK178" s="4">
        <v>1056</v>
      </c>
      <c r="AL178" s="14">
        <v>45881</v>
      </c>
    </row>
    <row r="179" spans="1:38" ht="29">
      <c r="A179" s="4" t="s">
        <v>50</v>
      </c>
      <c r="B179" s="4">
        <v>8</v>
      </c>
      <c r="C179" s="4">
        <v>134</v>
      </c>
      <c r="D179" s="6" t="s">
        <v>382</v>
      </c>
      <c r="E179" s="4" t="s">
        <v>3</v>
      </c>
      <c r="F179" s="4" t="str" cm="1">
        <f t="array" ref="F179">_xlfn.IFS(
  E179="Mahuva", "Mahuva",
  E179="Jesar", "Mahuva",
  E179="Palitana", "Palitana",
  E179="Gariyadhar", "Palitana",
  E179="Talaja", "Talaja",
  E179="Vallabhipur", "Vallabhipur",
  E179="Umrala", "Vallabhipur",
  E179="Shihor", "Shihor",
  E179="Ghogha", "Bhavnagar",
  E179="Bhavnagar", "Bhavnagar"
)</f>
        <v>Talaja</v>
      </c>
      <c r="G179" s="4" t="s">
        <v>206</v>
      </c>
      <c r="H179" s="4">
        <v>200369</v>
      </c>
      <c r="I179" s="4">
        <v>1</v>
      </c>
      <c r="J179" s="5">
        <v>45837</v>
      </c>
      <c r="K179" s="5">
        <v>45848</v>
      </c>
      <c r="L179" s="5">
        <v>45849</v>
      </c>
      <c r="M179" s="7">
        <v>806983.54</v>
      </c>
      <c r="N179" s="7">
        <v>767602.74</v>
      </c>
      <c r="O179" s="8">
        <v>-4.88</v>
      </c>
      <c r="P179" s="8" t="str">
        <f>IF(O179&lt;0,"Below",IF(O179&gt;0,"Above","Equals"))</f>
        <v>Below</v>
      </c>
      <c r="Q179" s="4" t="s">
        <v>332</v>
      </c>
      <c r="R179" s="5"/>
      <c r="S179" s="6"/>
      <c r="U179" s="12">
        <v>3</v>
      </c>
      <c r="V179" s="4">
        <v>1023</v>
      </c>
      <c r="W179" s="14">
        <v>45861</v>
      </c>
      <c r="X179" s="4" t="s">
        <v>50</v>
      </c>
      <c r="Y179" s="13">
        <v>102</v>
      </c>
      <c r="Z179" s="26">
        <v>45894</v>
      </c>
      <c r="AA179" s="4" t="s">
        <v>299</v>
      </c>
      <c r="AB179" s="4" t="s">
        <v>312</v>
      </c>
      <c r="AC179" s="33">
        <v>44378495825</v>
      </c>
      <c r="AD179" s="9">
        <v>39000</v>
      </c>
      <c r="AE179" s="5">
        <v>45883</v>
      </c>
      <c r="AF179" s="11"/>
      <c r="AG179" s="11"/>
      <c r="AI179" s="9"/>
      <c r="AJ179" s="11"/>
      <c r="AK179" s="4">
        <v>1187</v>
      </c>
      <c r="AL179" s="14">
        <v>45894</v>
      </c>
    </row>
    <row r="180" spans="1:38" ht="43.5">
      <c r="A180" s="4" t="s">
        <v>50</v>
      </c>
      <c r="B180" s="4">
        <v>8</v>
      </c>
      <c r="C180" s="4">
        <v>135</v>
      </c>
      <c r="D180" s="6" t="s">
        <v>383</v>
      </c>
      <c r="E180" s="4" t="s">
        <v>3</v>
      </c>
      <c r="F180" s="4" t="str" cm="1">
        <f t="array" ref="F180">_xlfn.IFS(
  E180="Mahuva", "Mahuva",
  E180="Jesar", "Mahuva",
  E180="Palitana", "Palitana",
  E180="Gariyadhar", "Palitana",
  E180="Talaja", "Talaja",
  E180="Vallabhipur", "Vallabhipur",
  E180="Umrala", "Vallabhipur",
  E180="Shihor", "Shihor",
  E180="Ghogha", "Bhavnagar",
  E180="Bhavnagar", "Bhavnagar"
)</f>
        <v>Talaja</v>
      </c>
      <c r="G180" s="4" t="s">
        <v>206</v>
      </c>
      <c r="H180" s="4">
        <v>200373</v>
      </c>
      <c r="I180" s="4">
        <v>1</v>
      </c>
      <c r="J180" s="5">
        <v>45837</v>
      </c>
      <c r="K180" s="5">
        <v>45848</v>
      </c>
      <c r="L180" s="5">
        <v>45849</v>
      </c>
      <c r="M180" s="7">
        <v>806983.54</v>
      </c>
      <c r="N180" s="7">
        <v>796250.66</v>
      </c>
      <c r="O180" s="8">
        <v>-1.33</v>
      </c>
      <c r="P180" s="8" t="str">
        <f>IF(O180&lt;0,"Below",IF(O180&gt;0,"Above","Equals"))</f>
        <v>Below</v>
      </c>
      <c r="Q180" s="4" t="s">
        <v>352</v>
      </c>
      <c r="R180" s="5"/>
      <c r="S180" s="6"/>
      <c r="U180" s="12">
        <v>3</v>
      </c>
      <c r="V180" s="4">
        <v>1024</v>
      </c>
      <c r="W180" s="14">
        <v>45861</v>
      </c>
      <c r="X180" s="4" t="s">
        <v>50</v>
      </c>
      <c r="Y180" s="13">
        <v>76</v>
      </c>
      <c r="Z180" s="26">
        <v>45881</v>
      </c>
      <c r="AA180" s="4" t="s">
        <v>299</v>
      </c>
      <c r="AB180" s="4" t="s">
        <v>312</v>
      </c>
      <c r="AC180" s="33">
        <v>44339498163</v>
      </c>
      <c r="AD180" s="9">
        <v>40000</v>
      </c>
      <c r="AE180" s="5">
        <v>45871</v>
      </c>
      <c r="AF180" s="11"/>
      <c r="AG180" s="11"/>
      <c r="AI180" s="9"/>
      <c r="AJ180" s="11"/>
      <c r="AK180" s="4">
        <v>1054</v>
      </c>
      <c r="AL180" s="14">
        <v>45881</v>
      </c>
    </row>
    <row r="181" spans="1:38" ht="29">
      <c r="A181" s="4" t="s">
        <v>50</v>
      </c>
      <c r="B181" s="4">
        <v>8</v>
      </c>
      <c r="C181" s="4">
        <v>136</v>
      </c>
      <c r="D181" s="6" t="s">
        <v>354</v>
      </c>
      <c r="E181" s="4" t="s">
        <v>1</v>
      </c>
      <c r="F181" s="4" t="str" cm="1">
        <f t="array" ref="F181">_xlfn.IFS(
  E181="Mahuva", "Mahuva",
  E181="Jesar", "Mahuva",
  E181="Palitana", "Palitana",
  E181="Gariyadhar", "Palitana",
  E181="Talaja", "Talaja",
  E181="Vallabhipur", "Vallabhipur",
  E181="Umrala", "Vallabhipur",
  E181="Shihor", "Shihor",
  E181="Ghogha", "Bhavnagar",
  E181="Bhavnagar", "Bhavnagar"
)</f>
        <v>Vallabhipur</v>
      </c>
      <c r="G181" s="4" t="s">
        <v>206</v>
      </c>
      <c r="H181" s="4">
        <v>200240</v>
      </c>
      <c r="I181" s="4">
        <v>1</v>
      </c>
      <c r="J181" s="5">
        <v>45837</v>
      </c>
      <c r="K181" s="5">
        <v>45848</v>
      </c>
      <c r="L181" s="5">
        <v>45849</v>
      </c>
      <c r="M181" s="7">
        <v>1634615.63</v>
      </c>
      <c r="O181" s="8"/>
      <c r="P181" s="8" t="str">
        <f>IF(O181&lt;0,"Below",IF(O181&gt;0,"Above","Equals"))</f>
        <v>Equals</v>
      </c>
      <c r="R181" s="5"/>
      <c r="S181" s="6"/>
      <c r="U181" s="12"/>
      <c r="V181" s="4"/>
      <c r="X181" s="4"/>
      <c r="Y181" s="13"/>
      <c r="Z181" s="13"/>
      <c r="AA181" s="4"/>
      <c r="AB181" s="4"/>
      <c r="AD181" s="9"/>
      <c r="AE181" s="5"/>
      <c r="AF181" s="11"/>
      <c r="AG181" s="11"/>
      <c r="AI181" s="9"/>
      <c r="AJ181" s="11"/>
      <c r="AK181" s="4"/>
    </row>
    <row r="182" spans="1:38" ht="29">
      <c r="A182" s="4" t="s">
        <v>50</v>
      </c>
      <c r="B182" s="4">
        <v>8</v>
      </c>
      <c r="C182" s="4">
        <v>137</v>
      </c>
      <c r="D182" s="6" t="s">
        <v>549</v>
      </c>
      <c r="E182" s="4" t="s">
        <v>1</v>
      </c>
      <c r="F182" s="4" t="str" cm="1">
        <f t="array" ref="F182">_xlfn.IFS(
  E182="Mahuva", "Mahuva",
  E182="Jesar", "Mahuva",
  E182="Palitana", "Palitana",
  E182="Gariyadhar", "Palitana",
  E182="Talaja", "Talaja",
  E182="Vallabhipur", "Vallabhipur",
  E182="Umrala", "Vallabhipur",
  E182="Shihor", "Shihor",
  E182="Ghogha", "Bhavnagar",
  E182="Bhavnagar", "Bhavnagar"
)</f>
        <v>Vallabhipur</v>
      </c>
      <c r="G182" s="4" t="s">
        <v>206</v>
      </c>
      <c r="I182" s="4">
        <v>1</v>
      </c>
      <c r="J182" s="5">
        <v>45837</v>
      </c>
      <c r="K182" s="5">
        <v>45848</v>
      </c>
      <c r="L182" s="5">
        <v>45849</v>
      </c>
      <c r="M182" s="7">
        <v>1634615.63</v>
      </c>
      <c r="O182" s="8"/>
      <c r="P182" s="8" t="str">
        <f>IF(O182&lt;0,"Below",IF(O182&gt;0,"Above","Equals"))</f>
        <v>Equals</v>
      </c>
      <c r="R182" s="5"/>
      <c r="S182" s="6"/>
      <c r="U182" s="12"/>
      <c r="V182" s="4"/>
      <c r="X182" s="4"/>
      <c r="Y182" s="13"/>
      <c r="Z182" s="13"/>
      <c r="AA182" s="4"/>
      <c r="AB182" s="4"/>
      <c r="AD182" s="9"/>
      <c r="AE182" s="5"/>
      <c r="AF182" s="11"/>
      <c r="AG182" s="11"/>
      <c r="AI182" s="9"/>
      <c r="AJ182" s="11"/>
      <c r="AK182" s="4"/>
    </row>
    <row r="183" spans="1:38" ht="29">
      <c r="A183" s="4" t="s">
        <v>50</v>
      </c>
      <c r="B183" s="4">
        <v>8</v>
      </c>
      <c r="C183" s="4">
        <v>138</v>
      </c>
      <c r="D183" s="6" t="s">
        <v>384</v>
      </c>
      <c r="E183" s="4" t="s">
        <v>9</v>
      </c>
      <c r="F183" s="4" t="str" cm="1">
        <f t="array" ref="F183">_xlfn.IFS(
  E183="Mahuva", "Mahuva",
  E183="Jesar", "Mahuva",
  E183="Palitana", "Palitana",
  E183="Gariyadhar", "Palitana",
  E183="Talaja", "Talaja",
  E183="Vallabhipur", "Vallabhipur",
  E183="Umrala", "Vallabhipur",
  E183="Shihor", "Shihor",
  E183="Ghogha", "Bhavnagar",
  E183="Bhavnagar", "Bhavnagar"
)</f>
        <v>Vallabhipur</v>
      </c>
      <c r="G183" s="4" t="s">
        <v>206</v>
      </c>
      <c r="H183" s="4">
        <v>200376</v>
      </c>
      <c r="I183" s="4">
        <v>1</v>
      </c>
      <c r="J183" s="5">
        <v>45837</v>
      </c>
      <c r="K183" s="5">
        <v>45848</v>
      </c>
      <c r="L183" s="5">
        <v>45849</v>
      </c>
      <c r="M183" s="7">
        <v>806983.54</v>
      </c>
      <c r="N183" s="7">
        <v>741214.38</v>
      </c>
      <c r="O183" s="8">
        <v>-8.15</v>
      </c>
      <c r="P183" s="8" t="str">
        <f>IF(O183&lt;0,"Below",IF(O183&gt;0,"Above","Equals"))</f>
        <v>Below</v>
      </c>
      <c r="Q183" s="4" t="s">
        <v>353</v>
      </c>
      <c r="R183" s="5"/>
      <c r="S183" s="6"/>
      <c r="U183" s="12">
        <v>3</v>
      </c>
      <c r="V183" s="4">
        <v>1025</v>
      </c>
      <c r="W183" s="14">
        <v>45861</v>
      </c>
      <c r="X183" s="4" t="s">
        <v>50</v>
      </c>
      <c r="Y183" s="13">
        <v>80</v>
      </c>
      <c r="Z183" s="26">
        <v>45881</v>
      </c>
      <c r="AA183" s="4" t="s">
        <v>299</v>
      </c>
      <c r="AB183" s="4" t="s">
        <v>312</v>
      </c>
      <c r="AC183" s="33">
        <v>44344794120</v>
      </c>
      <c r="AD183" s="9">
        <v>38000</v>
      </c>
      <c r="AE183" s="5">
        <v>45873</v>
      </c>
      <c r="AF183" s="11"/>
      <c r="AG183" s="11"/>
      <c r="AI183" s="9"/>
      <c r="AJ183" s="11"/>
      <c r="AK183" s="4">
        <v>1058</v>
      </c>
      <c r="AL183" s="14">
        <v>45881</v>
      </c>
    </row>
    <row r="184" spans="1:38" ht="29">
      <c r="A184" s="4" t="s">
        <v>50</v>
      </c>
      <c r="B184" s="4">
        <v>8</v>
      </c>
      <c r="C184" s="4">
        <v>139</v>
      </c>
      <c r="D184" s="6" t="s">
        <v>385</v>
      </c>
      <c r="E184" s="4" t="s">
        <v>9</v>
      </c>
      <c r="F184" s="4" t="str" cm="1">
        <f t="array" ref="F184">_xlfn.IFS(
  E184="Mahuva", "Mahuva",
  E184="Jesar", "Mahuva",
  E184="Palitana", "Palitana",
  E184="Gariyadhar", "Palitana",
  E184="Talaja", "Talaja",
  E184="Vallabhipur", "Vallabhipur",
  E184="Umrala", "Vallabhipur",
  E184="Shihor", "Shihor",
  E184="Ghogha", "Bhavnagar",
  E184="Bhavnagar", "Bhavnagar"
)</f>
        <v>Vallabhipur</v>
      </c>
      <c r="G184" s="4" t="s">
        <v>206</v>
      </c>
      <c r="H184" s="4">
        <v>200380</v>
      </c>
      <c r="I184" s="4">
        <v>1</v>
      </c>
      <c r="J184" s="5">
        <v>45837</v>
      </c>
      <c r="K184" s="5">
        <v>45848</v>
      </c>
      <c r="L184" s="5">
        <v>45849</v>
      </c>
      <c r="M184" s="7">
        <v>806983.54</v>
      </c>
      <c r="N184" s="7">
        <v>705707.11</v>
      </c>
      <c r="O184" s="8">
        <v>-12.55</v>
      </c>
      <c r="P184" s="8" t="str">
        <f>IF(O184&lt;0,"Below",IF(O184&gt;0,"Above","Equals"))</f>
        <v>Below</v>
      </c>
      <c r="Q184" s="4" t="s">
        <v>353</v>
      </c>
      <c r="R184" s="5"/>
      <c r="S184" s="6"/>
      <c r="U184" s="12">
        <v>3</v>
      </c>
      <c r="V184" s="4">
        <v>1026</v>
      </c>
      <c r="W184" s="14">
        <v>45861</v>
      </c>
      <c r="X184" s="4" t="s">
        <v>50</v>
      </c>
      <c r="Y184" s="13">
        <v>100</v>
      </c>
      <c r="Z184" s="26">
        <v>45891</v>
      </c>
      <c r="AA184" s="4" t="s">
        <v>299</v>
      </c>
      <c r="AB184" s="4" t="s">
        <v>312</v>
      </c>
      <c r="AC184" s="33">
        <v>44344808918</v>
      </c>
      <c r="AD184" s="9">
        <v>36000</v>
      </c>
      <c r="AE184" s="5">
        <v>45873</v>
      </c>
      <c r="AF184" s="4" t="s">
        <v>299</v>
      </c>
      <c r="AG184" s="4" t="s">
        <v>312</v>
      </c>
      <c r="AH184" s="33">
        <v>44388132154</v>
      </c>
      <c r="AI184" s="9">
        <v>5000</v>
      </c>
      <c r="AJ184" s="5">
        <v>45888</v>
      </c>
      <c r="AK184" s="4">
        <v>1185</v>
      </c>
      <c r="AL184" s="14">
        <v>45891</v>
      </c>
    </row>
    <row r="185" spans="1:38" ht="87">
      <c r="A185" s="4" t="s">
        <v>50</v>
      </c>
      <c r="B185" s="4">
        <v>8</v>
      </c>
      <c r="C185" s="4">
        <v>140</v>
      </c>
      <c r="D185" s="6" t="s">
        <v>617</v>
      </c>
      <c r="E185" s="4" t="s">
        <v>0</v>
      </c>
      <c r="F185" s="4" t="str" cm="1">
        <f t="array" ref="F185">_xlfn.IFS(
  E185="Mahuva", "Mahuva",
  E185="Jesar", "Mahuva",
  E185="Palitana", "Palitana",
  E185="Gariyadhar", "Palitana",
  E185="Talaja", "Talaja",
  E185="Vallabhipur", "Vallabhipur",
  E185="Umrala", "Vallabhipur",
  E185="Shihor", "Shihor",
  E185="Ghogha", "Bhavnagar",
  E185="Bhavnagar", "Bhavnagar"
)</f>
        <v>Bhavnagar</v>
      </c>
      <c r="G185" s="4" t="s">
        <v>206</v>
      </c>
      <c r="H185" s="4">
        <v>200405</v>
      </c>
      <c r="I185" s="4">
        <v>1</v>
      </c>
      <c r="J185" s="5">
        <v>45837</v>
      </c>
      <c r="K185" s="5">
        <v>45848</v>
      </c>
      <c r="L185" s="5">
        <v>45849</v>
      </c>
      <c r="M185" s="7">
        <v>2084326.82</v>
      </c>
      <c r="N185" s="7">
        <v>2063483.55</v>
      </c>
      <c r="O185" s="8">
        <v>-1</v>
      </c>
      <c r="P185" s="8" t="str">
        <f>IF(O185&lt;0,"Below",IF(O185&gt;0,"Above","Equals"))</f>
        <v>Below</v>
      </c>
      <c r="Q185" s="4" t="s">
        <v>99</v>
      </c>
      <c r="R185" s="5"/>
      <c r="S185" s="6"/>
      <c r="U185" s="12">
        <v>4</v>
      </c>
      <c r="V185" s="4">
        <v>1205</v>
      </c>
      <c r="W185" s="14">
        <v>45864</v>
      </c>
      <c r="X185" s="4" t="s">
        <v>50</v>
      </c>
      <c r="Y185" s="13">
        <v>302</v>
      </c>
      <c r="Z185" s="26">
        <v>46056</v>
      </c>
      <c r="AA185" s="4" t="s">
        <v>299</v>
      </c>
      <c r="AB185" s="4" t="s">
        <v>632</v>
      </c>
      <c r="AC185" s="33">
        <v>5936417345</v>
      </c>
      <c r="AD185" s="9">
        <v>104000</v>
      </c>
      <c r="AE185" s="5">
        <v>46052</v>
      </c>
      <c r="AF185" s="11"/>
      <c r="AG185" s="11"/>
      <c r="AI185" s="9"/>
      <c r="AJ185" s="11"/>
      <c r="AK185" s="4">
        <v>125</v>
      </c>
      <c r="AL185" s="14">
        <v>46056</v>
      </c>
    </row>
    <row r="186" spans="1:38" ht="43.5">
      <c r="A186" s="4" t="str">
        <f>A185</f>
        <v>2025-26</v>
      </c>
      <c r="B186" s="4">
        <f>B185</f>
        <v>8</v>
      </c>
      <c r="C186" s="4">
        <f>C185+1</f>
        <v>141</v>
      </c>
      <c r="D186" s="6" t="s">
        <v>1197</v>
      </c>
      <c r="E186" s="4" t="s">
        <v>2</v>
      </c>
      <c r="F186" s="4" t="str" cm="1">
        <f t="array" ref="F186">_xlfn.IFS(
  E186="Mahuva", "Mahuva",
  E186="Jesar", "Mahuva",
  E186="Palitana", "Palitana",
  E186="Gariyadhar", "Palitana",
  E186="Talaja", "Talaja",
  E186="Vallabhipur", "Vallabhipur",
  E186="Umrala", "Vallabhipur",
  E186="Shihor", "Shihor",
  E186="Ghogha", "Bhavnagar",
  E186="Bhavnagar", "Bhavnagar"
)</f>
        <v>Palitana</v>
      </c>
      <c r="G186" s="4" t="s">
        <v>206</v>
      </c>
      <c r="H186" s="4">
        <v>305426</v>
      </c>
      <c r="I186" s="4">
        <v>1</v>
      </c>
      <c r="M186" s="7">
        <v>1235961.81</v>
      </c>
      <c r="N186" s="7">
        <v>1061196.81</v>
      </c>
      <c r="O186" s="8">
        <v>-14.14</v>
      </c>
      <c r="P186" s="8" t="str">
        <f>IF(O186&lt;0,"Below",IF(O186&gt;0,"Above","Equals"))</f>
        <v>Below</v>
      </c>
      <c r="Q186" s="4" t="s">
        <v>331</v>
      </c>
      <c r="R186" s="5"/>
      <c r="S186" s="15"/>
      <c r="U186" s="12"/>
      <c r="V186" s="4"/>
      <c r="X186" s="4"/>
      <c r="Y186" s="13"/>
      <c r="Z186" s="13"/>
      <c r="AA186" s="4"/>
      <c r="AB186" s="4"/>
      <c r="AD186" s="9"/>
      <c r="AE186" s="5"/>
      <c r="AF186" s="11"/>
      <c r="AG186" s="11"/>
      <c r="AI186" s="9"/>
      <c r="AJ186" s="11"/>
      <c r="AK186" s="4"/>
    </row>
    <row r="187" spans="1:38" ht="29">
      <c r="A187" s="4" t="s">
        <v>50</v>
      </c>
      <c r="B187" s="4">
        <v>8</v>
      </c>
      <c r="C187" s="4">
        <v>141</v>
      </c>
      <c r="D187" s="6" t="s">
        <v>618</v>
      </c>
      <c r="E187" s="4" t="s">
        <v>3</v>
      </c>
      <c r="F187" s="4" t="str" cm="1">
        <f t="array" ref="F187">_xlfn.IFS(
  E187="Mahuva", "Mahuva",
  E187="Jesar", "Mahuva",
  E187="Palitana", "Palitana",
  E187="Gariyadhar", "Palitana",
  E187="Talaja", "Talaja",
  E187="Vallabhipur", "Vallabhipur",
  E187="Umrala", "Vallabhipur",
  E187="Shihor", "Shihor",
  E187="Ghogha", "Bhavnagar",
  E187="Bhavnagar", "Bhavnagar"
)</f>
        <v>Talaja</v>
      </c>
      <c r="G187" s="4" t="s">
        <v>206</v>
      </c>
      <c r="H187" s="4">
        <v>200415</v>
      </c>
      <c r="I187" s="4"/>
      <c r="J187" s="5">
        <v>45837</v>
      </c>
      <c r="K187" s="5">
        <v>45848</v>
      </c>
      <c r="L187" s="5">
        <v>45849</v>
      </c>
      <c r="M187" s="7">
        <v>1024912.96</v>
      </c>
      <c r="N187" s="7">
        <v>981661.63</v>
      </c>
      <c r="O187" s="8">
        <v>-4.22</v>
      </c>
      <c r="P187" s="8" t="str">
        <f>IF(O187&lt;0,"Below",IF(O187&gt;0,"Above","Equals"))</f>
        <v>Below</v>
      </c>
      <c r="Q187" s="4" t="s">
        <v>351</v>
      </c>
      <c r="R187" s="5"/>
      <c r="S187" s="6"/>
      <c r="U187" s="12">
        <v>4</v>
      </c>
      <c r="V187" s="4">
        <v>1206</v>
      </c>
      <c r="W187" s="14">
        <v>45864</v>
      </c>
      <c r="X187" s="4"/>
      <c r="Y187" s="13"/>
      <c r="Z187" s="13"/>
      <c r="AA187" s="4"/>
      <c r="AB187" s="4"/>
      <c r="AD187" s="9"/>
      <c r="AE187" s="5"/>
      <c r="AF187" s="11"/>
      <c r="AG187" s="11"/>
      <c r="AI187" s="9"/>
      <c r="AJ187" s="11"/>
      <c r="AK187" s="4"/>
    </row>
    <row r="188" spans="1:38" ht="58">
      <c r="A188" s="4" t="s">
        <v>50</v>
      </c>
      <c r="B188" s="4">
        <v>9</v>
      </c>
      <c r="C188" s="4">
        <v>1</v>
      </c>
      <c r="D188" s="6" t="s">
        <v>313</v>
      </c>
      <c r="E188" s="4" t="s">
        <v>10</v>
      </c>
      <c r="F188" s="4" t="str" cm="1">
        <f t="array" ref="F188">_xlfn.IFS(
  E188="Mahuva", "Mahuva",
  E188="Jesar", "Mahuva",
  E188="Palitana", "Palitana",
  E188="Gariyadhar", "Palitana",
  E188="Talaja", "Talaja",
  E188="Vallabhipur", "Vallabhipur",
  E188="Umrala", "Vallabhipur",
  E188="Shihor", "Shihor",
  E188="Ghogha", "Bhavnagar",
  E188="Bhavnagar", "Bhavnagar"
)</f>
        <v>Mahuva</v>
      </c>
      <c r="G188" s="4" t="s">
        <v>19</v>
      </c>
      <c r="H188" s="4">
        <v>199597</v>
      </c>
      <c r="I188" s="4">
        <v>2</v>
      </c>
      <c r="J188" s="5">
        <v>45841</v>
      </c>
      <c r="K188" s="5">
        <v>45852</v>
      </c>
      <c r="L188" s="5">
        <v>45853</v>
      </c>
      <c r="M188" s="7">
        <v>16081866.5</v>
      </c>
      <c r="N188" s="7">
        <v>18116222.609999999</v>
      </c>
      <c r="O188" s="8">
        <v>12.65</v>
      </c>
      <c r="P188" s="8" t="str">
        <f>IF(O188&lt;0,"Below",IF(O188&gt;0,"Above","Equals"))</f>
        <v>Above</v>
      </c>
      <c r="Q188" s="4" t="s">
        <v>315</v>
      </c>
      <c r="R188" s="5">
        <v>45863</v>
      </c>
      <c r="S188" s="15" t="s">
        <v>636</v>
      </c>
      <c r="T188" s="14">
        <v>45890</v>
      </c>
      <c r="U188" s="12">
        <v>6</v>
      </c>
      <c r="V188" s="4">
        <v>1263</v>
      </c>
      <c r="W188" s="14">
        <v>45904</v>
      </c>
      <c r="X188" s="4" t="s">
        <v>50</v>
      </c>
      <c r="Y188" s="13">
        <v>199</v>
      </c>
      <c r="Z188" s="26">
        <v>45969</v>
      </c>
      <c r="AA188" s="4" t="s">
        <v>302</v>
      </c>
      <c r="AB188" s="4" t="s">
        <v>390</v>
      </c>
      <c r="AC188" s="33" t="s">
        <v>735</v>
      </c>
      <c r="AD188" s="9">
        <v>906000</v>
      </c>
      <c r="AE188" s="5">
        <v>45920</v>
      </c>
      <c r="AF188" s="11"/>
      <c r="AG188" s="11"/>
      <c r="AI188" s="9"/>
      <c r="AJ188" s="11"/>
      <c r="AK188" s="4">
        <v>1504</v>
      </c>
      <c r="AL188" s="14">
        <v>45969</v>
      </c>
    </row>
    <row r="189" spans="1:38" ht="43.5">
      <c r="A189" s="4" t="s">
        <v>50</v>
      </c>
      <c r="B189" s="4">
        <v>9</v>
      </c>
      <c r="C189" s="4">
        <v>2</v>
      </c>
      <c r="D189" s="6" t="s">
        <v>932</v>
      </c>
      <c r="E189" s="4" t="s">
        <v>11</v>
      </c>
      <c r="F189" s="4" t="str" cm="1">
        <f t="array" ref="F189">_xlfn.IFS(
  E189="Mahuva", "Mahuva",
  E189="Jesar", "Mahuva",
  E189="Palitana", "Palitana",
  E189="Gariyadhar", "Palitana",
  E189="Talaja", "Talaja",
  E189="Vallabhipur", "Vallabhipur",
  E189="Umrala", "Vallabhipur",
  E189="Shihor", "Shihor",
  E189="Ghogha", "Bhavnagar",
  E189="Bhavnagar", "Bhavnagar"
)</f>
        <v>Shihor</v>
      </c>
      <c r="G189" s="4" t="s">
        <v>19</v>
      </c>
      <c r="H189" s="4">
        <v>201032</v>
      </c>
      <c r="I189" s="4">
        <v>1</v>
      </c>
      <c r="J189" s="5">
        <v>45841</v>
      </c>
      <c r="K189" s="5">
        <v>45852</v>
      </c>
      <c r="L189" s="5">
        <v>45853</v>
      </c>
      <c r="M189" s="7">
        <v>112916877.26000001</v>
      </c>
      <c r="N189" s="7">
        <v>94929218.709999993</v>
      </c>
      <c r="O189" s="8">
        <v>-15.93</v>
      </c>
      <c r="P189" s="8" t="str">
        <f>IF(O189&lt;0,"Below",IF(O189&gt;0,"Above","Equals"))</f>
        <v>Below</v>
      </c>
      <c r="Q189" s="4" t="s">
        <v>136</v>
      </c>
      <c r="R189" s="5">
        <v>45873</v>
      </c>
      <c r="S189" s="6" t="s">
        <v>640</v>
      </c>
      <c r="T189" s="14">
        <v>45903</v>
      </c>
      <c r="U189" s="12">
        <v>11</v>
      </c>
      <c r="V189" s="4">
        <v>1258</v>
      </c>
      <c r="W189" s="14">
        <v>45903</v>
      </c>
      <c r="X189" s="4" t="s">
        <v>50</v>
      </c>
      <c r="Y189" s="13">
        <v>258</v>
      </c>
      <c r="Z189" s="38">
        <v>46029</v>
      </c>
      <c r="AA189" s="4" t="s">
        <v>302</v>
      </c>
      <c r="AB189" s="4" t="s">
        <v>390</v>
      </c>
      <c r="AC189" s="33" t="s">
        <v>933</v>
      </c>
      <c r="AD189" s="9">
        <v>4747000</v>
      </c>
      <c r="AE189" s="5">
        <v>45979</v>
      </c>
      <c r="AF189" s="4" t="s">
        <v>302</v>
      </c>
      <c r="AG189" s="4" t="s">
        <v>390</v>
      </c>
      <c r="AH189" s="33" t="s">
        <v>934</v>
      </c>
      <c r="AI189" s="9">
        <v>1340000</v>
      </c>
      <c r="AJ189" s="5">
        <v>46334</v>
      </c>
      <c r="AK189" s="4">
        <v>35</v>
      </c>
      <c r="AL189" s="14">
        <v>46031</v>
      </c>
    </row>
    <row r="190" spans="1:38" ht="29">
      <c r="A190" s="4" t="str">
        <f>A189</f>
        <v>2025-26</v>
      </c>
      <c r="B190" s="4">
        <f>B189</f>
        <v>9</v>
      </c>
      <c r="C190" s="4">
        <f>C189+1</f>
        <v>3</v>
      </c>
      <c r="D190" s="6" t="s">
        <v>1196</v>
      </c>
      <c r="E190" s="4" t="s">
        <v>2</v>
      </c>
      <c r="F190" s="4" t="str" cm="1">
        <f t="array" ref="F190">_xlfn.IFS(
  E190="Mahuva", "Mahuva",
  E190="Jesar", "Mahuva",
  E190="Palitana", "Palitana",
  E190="Gariyadhar", "Palitana",
  E190="Talaja", "Talaja",
  E190="Vallabhipur", "Vallabhipur",
  E190="Umrala", "Vallabhipur",
  E190="Shihor", "Shihor",
  E190="Ghogha", "Bhavnagar",
  E190="Bhavnagar", "Bhavnagar"
)</f>
        <v>Palitana</v>
      </c>
      <c r="G190" s="4" t="s">
        <v>206</v>
      </c>
      <c r="H190" s="4">
        <v>305416</v>
      </c>
      <c r="I190" s="4">
        <v>1</v>
      </c>
      <c r="O190" s="8"/>
      <c r="P190" s="8" t="str">
        <f>IF(O190&lt;0,"Below",IF(O190&gt;0,"Above","Equals"))</f>
        <v>Equals</v>
      </c>
      <c r="R190" s="5"/>
      <c r="S190" s="15"/>
      <c r="U190" s="12"/>
      <c r="V190" s="4"/>
      <c r="X190" s="4"/>
      <c r="Y190" s="13"/>
      <c r="Z190" s="13"/>
      <c r="AA190" s="4"/>
      <c r="AB190" s="4"/>
      <c r="AD190" s="9"/>
      <c r="AE190" s="5"/>
      <c r="AF190" s="11"/>
      <c r="AG190" s="11"/>
      <c r="AI190" s="9"/>
      <c r="AJ190" s="11"/>
      <c r="AK190" s="4"/>
    </row>
    <row r="191" spans="1:38" ht="87">
      <c r="A191" s="4" t="s">
        <v>50</v>
      </c>
      <c r="B191" s="4">
        <v>9</v>
      </c>
      <c r="C191" s="4">
        <v>3</v>
      </c>
      <c r="D191" s="6" t="s">
        <v>314</v>
      </c>
      <c r="E191" s="4" t="s">
        <v>0</v>
      </c>
      <c r="F191" s="4" t="str" cm="1">
        <f t="array" ref="F191">_xlfn.IFS(
  E191="Mahuva", "Mahuva",
  E191="Jesar", "Mahuva",
  E191="Palitana", "Palitana",
  E191="Gariyadhar", "Palitana",
  E191="Talaja", "Talaja",
  E191="Vallabhipur", "Vallabhipur",
  E191="Umrala", "Vallabhipur",
  E191="Shihor", "Shihor",
  E191="Ghogha", "Bhavnagar",
  E191="Bhavnagar", "Bhavnagar"
)</f>
        <v>Bhavnagar</v>
      </c>
      <c r="G191" s="4" t="s">
        <v>19</v>
      </c>
      <c r="H191" s="4">
        <v>200884</v>
      </c>
      <c r="I191" s="4">
        <v>1</v>
      </c>
      <c r="J191" s="5">
        <v>45841</v>
      </c>
      <c r="K191" s="5">
        <v>45852</v>
      </c>
      <c r="L191" s="5">
        <v>45853</v>
      </c>
      <c r="M191" s="7">
        <v>63362712.479999997</v>
      </c>
      <c r="N191" s="7">
        <v>53668217.469999999</v>
      </c>
      <c r="O191" s="8">
        <v>-15.3</v>
      </c>
      <c r="P191" s="8" t="str">
        <f>IF(O191&lt;0,"Below",IF(O191&gt;0,"Above","Equals"))</f>
        <v>Below</v>
      </c>
      <c r="Q191" s="4" t="s">
        <v>176</v>
      </c>
      <c r="R191" s="5">
        <v>45863</v>
      </c>
      <c r="S191" s="6" t="s">
        <v>678</v>
      </c>
      <c r="T191" s="14">
        <v>45901</v>
      </c>
      <c r="U191" s="12">
        <v>11</v>
      </c>
      <c r="V191" s="4">
        <v>1353</v>
      </c>
      <c r="W191" s="14">
        <v>45922</v>
      </c>
      <c r="X191" s="4" t="s">
        <v>50</v>
      </c>
      <c r="Y191" s="13">
        <v>319</v>
      </c>
      <c r="Z191" s="26">
        <v>46074</v>
      </c>
      <c r="AA191" s="4" t="s">
        <v>299</v>
      </c>
      <c r="AB191" s="4" t="s">
        <v>1020</v>
      </c>
      <c r="AC191" s="33" t="s">
        <v>1021</v>
      </c>
      <c r="AD191" s="9">
        <v>2684000</v>
      </c>
      <c r="AE191" s="5">
        <v>46074</v>
      </c>
      <c r="AF191" s="4" t="s">
        <v>299</v>
      </c>
      <c r="AG191" s="4" t="s">
        <v>1020</v>
      </c>
      <c r="AH191" s="33" t="s">
        <v>1022</v>
      </c>
      <c r="AI191" s="9">
        <v>672000</v>
      </c>
      <c r="AJ191" s="5">
        <v>46074</v>
      </c>
      <c r="AK191" s="4">
        <v>292</v>
      </c>
      <c r="AL191" s="14">
        <v>46074</v>
      </c>
    </row>
    <row r="192" spans="1:38" ht="29">
      <c r="A192" s="4" t="str">
        <f>A191</f>
        <v>2025-26</v>
      </c>
      <c r="B192" s="4">
        <f>B191</f>
        <v>9</v>
      </c>
      <c r="C192" s="4">
        <f>C191+1</f>
        <v>4</v>
      </c>
      <c r="D192" s="6" t="s">
        <v>1195</v>
      </c>
      <c r="E192" s="4" t="s">
        <v>207</v>
      </c>
      <c r="F192" s="4" t="str" cm="1">
        <f t="array" ref="F192">_xlfn.IFS(
  E192="Mahuva", "Mahuva",
  E192="Jesar", "Mahuva",
  E192="Palitana", "Palitana",
  E192="Gariyadhar", "Palitana",
  E192="Talaja", "Talaja",
  E192="Vallabhipur", "Vallabhipur",
  E192="Umrala", "Vallabhipur",
  E192="Shihor", "Shihor",
  E192="Ghogha", "Bhavnagar",
  E192="Bhavnagar", "Bhavnagar"
)</f>
        <v>Palitana</v>
      </c>
      <c r="G192" s="4" t="s">
        <v>206</v>
      </c>
      <c r="H192" s="4">
        <v>305409</v>
      </c>
      <c r="I192" s="4">
        <v>1</v>
      </c>
      <c r="O192" s="8"/>
      <c r="P192" s="8" t="str">
        <f>IF(O192&lt;0,"Below",IF(O192&gt;0,"Above","Equals"))</f>
        <v>Equals</v>
      </c>
      <c r="R192" s="5"/>
      <c r="S192" s="15"/>
      <c r="U192" s="12"/>
      <c r="V192" s="4"/>
      <c r="X192" s="4"/>
      <c r="Y192" s="13"/>
      <c r="Z192" s="13"/>
      <c r="AA192" s="4"/>
      <c r="AB192" s="4"/>
      <c r="AD192" s="9"/>
      <c r="AE192" s="5"/>
      <c r="AF192" s="11"/>
      <c r="AG192" s="11"/>
      <c r="AI192" s="9"/>
      <c r="AJ192" s="11"/>
      <c r="AK192" s="4"/>
    </row>
    <row r="193" spans="1:38" ht="58">
      <c r="A193" s="4" t="s">
        <v>50</v>
      </c>
      <c r="B193" s="4">
        <v>9</v>
      </c>
      <c r="C193" s="4">
        <v>4</v>
      </c>
      <c r="D193" s="6" t="s">
        <v>316</v>
      </c>
      <c r="E193" s="4" t="s">
        <v>0</v>
      </c>
      <c r="F193" s="4" t="str" cm="1">
        <f t="array" ref="F193">_xlfn.IFS(
  E193="Mahuva", "Mahuva",
  E193="Jesar", "Mahuva",
  E193="Palitana", "Palitana",
  E193="Gariyadhar", "Palitana",
  E193="Talaja", "Talaja",
  E193="Vallabhipur", "Vallabhipur",
  E193="Umrala", "Vallabhipur",
  E193="Shihor", "Shihor",
  E193="Ghogha", "Bhavnagar",
  E193="Bhavnagar", "Bhavnagar"
)</f>
        <v>Bhavnagar</v>
      </c>
      <c r="G193" s="4" t="s">
        <v>19</v>
      </c>
      <c r="H193" s="4">
        <v>200894</v>
      </c>
      <c r="I193" s="4">
        <v>1</v>
      </c>
      <c r="J193" s="5">
        <v>45841</v>
      </c>
      <c r="K193" s="5">
        <v>45852</v>
      </c>
      <c r="L193" s="5">
        <v>45853</v>
      </c>
      <c r="M193" s="7">
        <v>12069061.77</v>
      </c>
      <c r="N193" s="7">
        <v>8932312.6199999992</v>
      </c>
      <c r="O193" s="8">
        <v>-25.99</v>
      </c>
      <c r="P193" s="8" t="str">
        <f>IF(O193&lt;0,"Below",IF(O193&gt;0,"Above","Equals"))</f>
        <v>Below</v>
      </c>
      <c r="Q193" s="4" t="s">
        <v>175</v>
      </c>
      <c r="R193" s="5">
        <v>45863</v>
      </c>
      <c r="S193" s="15" t="s">
        <v>539</v>
      </c>
      <c r="T193" s="14">
        <v>45877</v>
      </c>
      <c r="U193" s="12">
        <v>6</v>
      </c>
      <c r="V193" s="4">
        <v>1257</v>
      </c>
      <c r="W193" s="14">
        <v>45903</v>
      </c>
      <c r="X193" s="4" t="s">
        <v>50</v>
      </c>
      <c r="Y193" s="13">
        <v>203</v>
      </c>
      <c r="Z193" s="26">
        <v>45974</v>
      </c>
      <c r="AA193" s="4" t="s">
        <v>299</v>
      </c>
      <c r="AB193" s="4" t="s">
        <v>390</v>
      </c>
      <c r="AC193" s="33" t="s">
        <v>752</v>
      </c>
      <c r="AD193" s="9">
        <v>447000</v>
      </c>
      <c r="AE193" s="5">
        <v>45964</v>
      </c>
      <c r="AF193" s="4" t="s">
        <v>299</v>
      </c>
      <c r="AG193" s="4" t="s">
        <v>390</v>
      </c>
      <c r="AH193" s="33" t="s">
        <v>753</v>
      </c>
      <c r="AI193" s="9">
        <v>579000</v>
      </c>
      <c r="AJ193" s="5">
        <v>45964</v>
      </c>
      <c r="AK193" s="4">
        <v>1525</v>
      </c>
      <c r="AL193" s="14">
        <v>45974</v>
      </c>
    </row>
    <row r="194" spans="1:38" ht="43.5">
      <c r="A194" s="4" t="s">
        <v>50</v>
      </c>
      <c r="B194" s="4">
        <v>9</v>
      </c>
      <c r="C194" s="4">
        <v>5</v>
      </c>
      <c r="D194" s="6" t="s">
        <v>322</v>
      </c>
      <c r="E194" s="4" t="s">
        <v>11</v>
      </c>
      <c r="F194" s="4" t="str" cm="1">
        <f t="array" ref="F194">_xlfn.IFS(
  E194="Mahuva", "Mahuva",
  E194="Jesar", "Mahuva",
  E194="Palitana", "Palitana",
  E194="Gariyadhar", "Palitana",
  E194="Talaja", "Talaja",
  E194="Vallabhipur", "Vallabhipur",
  E194="Umrala", "Vallabhipur",
  E194="Shihor", "Shihor",
  E194="Ghogha", "Bhavnagar",
  E194="Bhavnagar", "Bhavnagar"
)</f>
        <v>Shihor</v>
      </c>
      <c r="G194" s="4" t="s">
        <v>19</v>
      </c>
      <c r="H194" s="4">
        <v>199598</v>
      </c>
      <c r="I194" s="4">
        <v>1</v>
      </c>
      <c r="J194" s="5">
        <v>45841</v>
      </c>
      <c r="K194" s="5">
        <v>45852</v>
      </c>
      <c r="L194" s="5">
        <v>45853</v>
      </c>
      <c r="M194" s="7">
        <v>31383339.899999999</v>
      </c>
      <c r="N194" s="7">
        <v>25288695.289999999</v>
      </c>
      <c r="O194" s="8">
        <v>-19.420000000000002</v>
      </c>
      <c r="P194" s="8" t="str">
        <f>IF(O194&lt;0,"Below",IF(O194&gt;0,"Above","Equals"))</f>
        <v>Below</v>
      </c>
      <c r="Q194" s="4" t="s">
        <v>109</v>
      </c>
      <c r="R194" s="5">
        <v>45863</v>
      </c>
      <c r="S194" s="6" t="s">
        <v>637</v>
      </c>
      <c r="T194" s="14">
        <v>45887</v>
      </c>
      <c r="U194" s="12">
        <v>10</v>
      </c>
      <c r="V194" s="4">
        <v>1262</v>
      </c>
      <c r="W194" s="14">
        <v>45904</v>
      </c>
      <c r="X194" s="4" t="s">
        <v>50</v>
      </c>
      <c r="Y194" s="13">
        <v>320</v>
      </c>
      <c r="Z194" s="26">
        <v>46083</v>
      </c>
      <c r="AA194" s="4" t="s">
        <v>302</v>
      </c>
      <c r="AB194" s="4" t="s">
        <v>1020</v>
      </c>
      <c r="AC194" s="33" t="s">
        <v>1025</v>
      </c>
      <c r="AD194" s="9">
        <v>1265000</v>
      </c>
      <c r="AE194" s="5">
        <v>46024</v>
      </c>
      <c r="AF194" s="4" t="s">
        <v>302</v>
      </c>
      <c r="AG194" s="4" t="s">
        <v>1020</v>
      </c>
      <c r="AH194" s="10" t="s">
        <v>1026</v>
      </c>
      <c r="AI194" s="9">
        <v>592000</v>
      </c>
      <c r="AJ194" s="5">
        <v>46025</v>
      </c>
      <c r="AK194" s="4">
        <v>324</v>
      </c>
      <c r="AL194" s="14">
        <v>46083</v>
      </c>
    </row>
    <row r="195" spans="1:38" ht="43.5">
      <c r="A195" s="4" t="s">
        <v>50</v>
      </c>
      <c r="B195" s="4">
        <v>9</v>
      </c>
      <c r="C195" s="4">
        <v>6</v>
      </c>
      <c r="D195" s="6" t="s">
        <v>317</v>
      </c>
      <c r="E195" s="4" t="s">
        <v>11</v>
      </c>
      <c r="F195" s="4" t="str" cm="1">
        <f t="array" ref="F195">_xlfn.IFS(
  E195="Mahuva", "Mahuva",
  E195="Jesar", "Mahuva",
  E195="Palitana", "Palitana",
  E195="Gariyadhar", "Palitana",
  E195="Talaja", "Talaja",
  E195="Vallabhipur", "Vallabhipur",
  E195="Umrala", "Vallabhipur",
  E195="Shihor", "Shihor",
  E195="Ghogha", "Bhavnagar",
  E195="Bhavnagar", "Bhavnagar"
)</f>
        <v>Shihor</v>
      </c>
      <c r="G195" s="4" t="s">
        <v>19</v>
      </c>
      <c r="H195" s="4">
        <v>199599</v>
      </c>
      <c r="I195" s="4">
        <v>1</v>
      </c>
      <c r="J195" s="5">
        <v>45841</v>
      </c>
      <c r="K195" s="5">
        <v>45852</v>
      </c>
      <c r="L195" s="5">
        <v>45853</v>
      </c>
      <c r="M195" s="7">
        <v>14529445.869999999</v>
      </c>
      <c r="N195" s="7">
        <v>12560705.949999999</v>
      </c>
      <c r="O195" s="8">
        <v>-13.55</v>
      </c>
      <c r="P195" s="8" t="str">
        <f>IF(O195&lt;0,"Below",IF(O195&gt;0,"Above","Equals"))</f>
        <v>Below</v>
      </c>
      <c r="Q195" s="4" t="s">
        <v>53</v>
      </c>
      <c r="R195" s="5">
        <v>45863</v>
      </c>
      <c r="S195" s="15" t="s">
        <v>538</v>
      </c>
      <c r="T195" s="14">
        <v>45877</v>
      </c>
      <c r="U195" s="12">
        <v>8</v>
      </c>
      <c r="V195" s="4">
        <v>1256</v>
      </c>
      <c r="W195" s="14">
        <v>45903</v>
      </c>
      <c r="X195" s="4" t="s">
        <v>1126</v>
      </c>
      <c r="Y195" s="13">
        <v>24</v>
      </c>
      <c r="Z195" s="26">
        <v>46163</v>
      </c>
      <c r="AA195" s="4" t="s">
        <v>299</v>
      </c>
      <c r="AB195" s="4" t="s">
        <v>312</v>
      </c>
      <c r="AC195" s="33" t="s">
        <v>1183</v>
      </c>
      <c r="AD195" s="9">
        <v>629000</v>
      </c>
      <c r="AE195" s="5">
        <v>46114</v>
      </c>
      <c r="AF195" s="4" t="s">
        <v>299</v>
      </c>
      <c r="AG195" s="4" t="s">
        <v>312</v>
      </c>
      <c r="AH195" s="33" t="s">
        <v>1184</v>
      </c>
      <c r="AI195" s="9">
        <v>104000</v>
      </c>
      <c r="AJ195" s="5">
        <v>46114</v>
      </c>
      <c r="AK195" s="4">
        <v>587</v>
      </c>
      <c r="AL195" s="14">
        <v>46163</v>
      </c>
    </row>
    <row r="196" spans="1:38" ht="43.5">
      <c r="A196" s="4" t="s">
        <v>50</v>
      </c>
      <c r="B196" s="4">
        <v>9</v>
      </c>
      <c r="C196" s="4">
        <v>7</v>
      </c>
      <c r="D196" s="6" t="s">
        <v>321</v>
      </c>
      <c r="E196" s="4" t="s">
        <v>11</v>
      </c>
      <c r="F196" s="4" t="str" cm="1">
        <f t="array" ref="F196">_xlfn.IFS(
  E196="Mahuva", "Mahuva",
  E196="Jesar", "Mahuva",
  E196="Palitana", "Palitana",
  E196="Gariyadhar", "Palitana",
  E196="Talaja", "Talaja",
  E196="Vallabhipur", "Vallabhipur",
  E196="Umrala", "Vallabhipur",
  E196="Shihor", "Shihor",
  E196="Ghogha", "Bhavnagar",
  E196="Bhavnagar", "Bhavnagar"
)</f>
        <v>Shihor</v>
      </c>
      <c r="G196" s="4" t="s">
        <v>19</v>
      </c>
      <c r="H196" s="4">
        <v>199600</v>
      </c>
      <c r="I196" s="4">
        <v>1</v>
      </c>
      <c r="J196" s="5">
        <v>45841</v>
      </c>
      <c r="K196" s="5">
        <v>45852</v>
      </c>
      <c r="L196" s="5">
        <v>45853</v>
      </c>
      <c r="M196" s="7">
        <v>21473015.379999999</v>
      </c>
      <c r="N196" s="7">
        <v>18786741.16</v>
      </c>
      <c r="O196" s="8">
        <v>-12.51</v>
      </c>
      <c r="P196" s="8" t="str">
        <f>IF(O196&lt;0,"Below",IF(O196&gt;0,"Above","Equals"))</f>
        <v>Below</v>
      </c>
      <c r="Q196" s="4" t="s">
        <v>176</v>
      </c>
      <c r="R196" s="5">
        <v>45863</v>
      </c>
      <c r="S196" s="6" t="s">
        <v>638</v>
      </c>
      <c r="T196" s="14">
        <v>45887</v>
      </c>
      <c r="U196" s="12">
        <v>8</v>
      </c>
      <c r="V196" s="4">
        <v>1261</v>
      </c>
      <c r="W196" s="14">
        <v>45904</v>
      </c>
      <c r="X196" s="4" t="s">
        <v>50</v>
      </c>
      <c r="Y196" s="13">
        <v>301</v>
      </c>
      <c r="Z196" s="26">
        <v>46056</v>
      </c>
      <c r="AA196" s="4" t="s">
        <v>299</v>
      </c>
      <c r="AB196" s="4" t="s">
        <v>312</v>
      </c>
      <c r="AC196" s="33">
        <v>44881780125</v>
      </c>
      <c r="AD196" s="9">
        <v>940000</v>
      </c>
      <c r="AE196" s="5">
        <v>46055</v>
      </c>
      <c r="AF196" s="4" t="s">
        <v>299</v>
      </c>
      <c r="AG196" s="4" t="s">
        <v>312</v>
      </c>
      <c r="AH196" s="33">
        <v>44881568631</v>
      </c>
      <c r="AI196" s="9">
        <v>108000</v>
      </c>
      <c r="AJ196" s="5">
        <v>46055</v>
      </c>
      <c r="AK196" s="4">
        <v>123</v>
      </c>
      <c r="AL196" s="14">
        <v>46056</v>
      </c>
    </row>
    <row r="197" spans="1:38" ht="43.5">
      <c r="A197" s="4" t="s">
        <v>50</v>
      </c>
      <c r="B197" s="4">
        <v>9</v>
      </c>
      <c r="C197" s="4">
        <v>8</v>
      </c>
      <c r="D197" s="6" t="s">
        <v>328</v>
      </c>
      <c r="E197" s="4" t="s">
        <v>3</v>
      </c>
      <c r="F197" s="4" t="str" cm="1">
        <f t="array" ref="F197">_xlfn.IFS(
  E197="Mahuva", "Mahuva",
  E197="Jesar", "Mahuva",
  E197="Palitana", "Palitana",
  E197="Gariyadhar", "Palitana",
  E197="Talaja", "Talaja",
  E197="Vallabhipur", "Vallabhipur",
  E197="Umrala", "Vallabhipur",
  E197="Shihor", "Shihor",
  E197="Ghogha", "Bhavnagar",
  E197="Bhavnagar", "Bhavnagar"
)</f>
        <v>Talaja</v>
      </c>
      <c r="G197" s="4" t="s">
        <v>19</v>
      </c>
      <c r="H197" s="4">
        <v>199601</v>
      </c>
      <c r="I197" s="4">
        <v>1</v>
      </c>
      <c r="J197" s="5">
        <v>45841</v>
      </c>
      <c r="K197" s="5">
        <v>45852</v>
      </c>
      <c r="L197" s="5">
        <v>45853</v>
      </c>
      <c r="M197" s="7">
        <v>21756202.609999999</v>
      </c>
      <c r="O197" s="8"/>
      <c r="P197" s="8" t="str">
        <f>IF(O197&lt;0,"Below",IF(O197&gt;0,"Above","Equals"))</f>
        <v>Equals</v>
      </c>
      <c r="R197" s="5"/>
      <c r="S197" s="6"/>
      <c r="U197" s="12"/>
      <c r="V197" s="4"/>
      <c r="X197" s="4"/>
      <c r="Y197" s="13"/>
      <c r="Z197" s="13"/>
      <c r="AA197" s="4"/>
      <c r="AB197" s="4"/>
      <c r="AD197" s="9"/>
      <c r="AE197" s="5"/>
      <c r="AF197" s="11"/>
      <c r="AG197" s="11"/>
      <c r="AI197" s="9"/>
      <c r="AJ197" s="11"/>
      <c r="AK197" s="4"/>
    </row>
    <row r="198" spans="1:38" ht="29">
      <c r="A198" s="4" t="str">
        <f>A197</f>
        <v>2025-26</v>
      </c>
      <c r="B198" s="4">
        <f>B197</f>
        <v>9</v>
      </c>
      <c r="C198" s="4">
        <f>C197+1</f>
        <v>9</v>
      </c>
      <c r="D198" s="6" t="s">
        <v>1193</v>
      </c>
      <c r="E198" s="4" t="s">
        <v>0</v>
      </c>
      <c r="F198" s="4" t="str" cm="1">
        <f t="array" ref="F198">_xlfn.IFS(
  E198="Mahuva", "Mahuva",
  E198="Jesar", "Mahuva",
  E198="Palitana", "Palitana",
  E198="Gariyadhar", "Palitana",
  E198="Talaja", "Talaja",
  E198="Vallabhipur", "Vallabhipur",
  E198="Umrala", "Vallabhipur",
  E198="Shihor", "Shihor",
  E198="Ghogha", "Bhavnagar",
  E198="Bhavnagar", "Bhavnagar"
)</f>
        <v>Bhavnagar</v>
      </c>
      <c r="G198" s="4" t="s">
        <v>206</v>
      </c>
      <c r="H198" s="4">
        <v>305402</v>
      </c>
      <c r="I198" s="4">
        <v>1</v>
      </c>
      <c r="M198" s="7">
        <v>982154.6</v>
      </c>
      <c r="N198" s="7">
        <v>888457.05</v>
      </c>
      <c r="O198" s="8">
        <v>-9.5399999999999991</v>
      </c>
      <c r="P198" s="8" t="str">
        <f>IF(O198&lt;0,"Below",IF(O198&gt;0,"Above","Equals"))</f>
        <v>Below</v>
      </c>
      <c r="Q198" s="4" t="s">
        <v>1206</v>
      </c>
      <c r="R198" s="5"/>
      <c r="S198" s="15"/>
      <c r="U198" s="12"/>
      <c r="V198" s="4"/>
      <c r="X198" s="4"/>
      <c r="Y198" s="13"/>
      <c r="Z198" s="13"/>
      <c r="AA198" s="4"/>
      <c r="AB198" s="4"/>
      <c r="AD198" s="9"/>
      <c r="AE198" s="5"/>
      <c r="AF198" s="11"/>
      <c r="AG198" s="11"/>
      <c r="AI198" s="9"/>
      <c r="AJ198" s="11"/>
      <c r="AK198" s="4"/>
    </row>
    <row r="199" spans="1:38" ht="29">
      <c r="A199" s="4" t="s">
        <v>50</v>
      </c>
      <c r="B199" s="4">
        <v>9</v>
      </c>
      <c r="C199" s="4">
        <v>9</v>
      </c>
      <c r="D199" s="6" t="s">
        <v>327</v>
      </c>
      <c r="E199" s="4" t="s">
        <v>3</v>
      </c>
      <c r="F199" s="4" t="str" cm="1">
        <f t="array" ref="F199">_xlfn.IFS(
  E199="Mahuva", "Mahuva",
  E199="Jesar", "Mahuva",
  E199="Palitana", "Palitana",
  E199="Gariyadhar", "Palitana",
  E199="Talaja", "Talaja",
  E199="Vallabhipur", "Vallabhipur",
  E199="Umrala", "Vallabhipur",
  E199="Shihor", "Shihor",
  E199="Ghogha", "Bhavnagar",
  E199="Bhavnagar", "Bhavnagar"
)</f>
        <v>Talaja</v>
      </c>
      <c r="G199" s="4" t="s">
        <v>19</v>
      </c>
      <c r="H199" s="4">
        <v>199602</v>
      </c>
      <c r="I199" s="4">
        <v>1</v>
      </c>
      <c r="J199" s="5">
        <v>45841</v>
      </c>
      <c r="K199" s="5">
        <v>45852</v>
      </c>
      <c r="L199" s="5">
        <v>45853</v>
      </c>
      <c r="M199" s="7">
        <v>13636075.76</v>
      </c>
      <c r="O199" s="8"/>
      <c r="P199" s="8" t="str">
        <f>IF(O199&lt;0,"Below",IF(O199&gt;0,"Above","Equals"))</f>
        <v>Equals</v>
      </c>
      <c r="R199" s="5"/>
      <c r="S199" s="6"/>
      <c r="U199" s="12"/>
      <c r="V199" s="4"/>
      <c r="X199" s="4"/>
      <c r="Y199" s="13"/>
      <c r="Z199" s="13"/>
      <c r="AA199" s="4"/>
      <c r="AB199" s="4"/>
      <c r="AD199" s="9"/>
      <c r="AE199" s="5"/>
      <c r="AF199" s="11"/>
      <c r="AG199" s="11"/>
      <c r="AI199" s="9"/>
      <c r="AJ199" s="11"/>
      <c r="AK199" s="4"/>
    </row>
    <row r="200" spans="1:38" ht="43.5">
      <c r="A200" s="4" t="s">
        <v>50</v>
      </c>
      <c r="B200" s="4">
        <v>9</v>
      </c>
      <c r="C200" s="4">
        <v>10</v>
      </c>
      <c r="D200" s="6" t="s">
        <v>320</v>
      </c>
      <c r="E200" s="4" t="s">
        <v>207</v>
      </c>
      <c r="F200" s="4" t="str" cm="1">
        <f t="array" ref="F200">_xlfn.IFS(
  E200="Mahuva", "Mahuva",
  E200="Jesar", "Mahuva",
  E200="Palitana", "Palitana",
  E200="Gariyadhar", "Palitana",
  E200="Talaja", "Talaja",
  E200="Vallabhipur", "Vallabhipur",
  E200="Umrala", "Vallabhipur",
  E200="Shihor", "Shihor",
  E200="Ghogha", "Bhavnagar",
  E200="Bhavnagar", "Bhavnagar"
)</f>
        <v>Palitana</v>
      </c>
      <c r="G200" s="4" t="s">
        <v>19</v>
      </c>
      <c r="H200" s="4">
        <v>199603</v>
      </c>
      <c r="I200" s="4">
        <v>1</v>
      </c>
      <c r="J200" s="5">
        <v>45841</v>
      </c>
      <c r="K200" s="5">
        <v>45852</v>
      </c>
      <c r="L200" s="5">
        <v>45853</v>
      </c>
      <c r="M200" s="7">
        <v>41947449.920000002</v>
      </c>
      <c r="N200" s="7">
        <v>33864176.32</v>
      </c>
      <c r="O200" s="8">
        <v>-19.27</v>
      </c>
      <c r="P200" s="8" t="str">
        <f>IF(O200&lt;0,"Below",IF(O200&gt;0,"Above","Equals"))</f>
        <v>Below</v>
      </c>
      <c r="Q200" s="4" t="s">
        <v>16</v>
      </c>
      <c r="R200" s="5">
        <v>45863</v>
      </c>
      <c r="S200" s="6" t="s">
        <v>679</v>
      </c>
      <c r="T200" s="14">
        <v>45901</v>
      </c>
      <c r="U200" s="12">
        <v>10</v>
      </c>
      <c r="V200" s="4">
        <v>1354</v>
      </c>
      <c r="W200" s="14">
        <v>45922</v>
      </c>
      <c r="X200" s="4" t="s">
        <v>50</v>
      </c>
      <c r="Y200" s="13">
        <v>263</v>
      </c>
      <c r="Z200" s="26">
        <v>46037</v>
      </c>
      <c r="AA200" s="4" t="s">
        <v>302</v>
      </c>
      <c r="AB200" s="4" t="s">
        <v>541</v>
      </c>
      <c r="AC200" s="33" t="s">
        <v>947</v>
      </c>
      <c r="AD200" s="9">
        <v>1694000</v>
      </c>
      <c r="AE200" s="5">
        <v>46017</v>
      </c>
      <c r="AF200" s="4" t="s">
        <v>302</v>
      </c>
      <c r="AG200" s="4" t="s">
        <v>541</v>
      </c>
      <c r="AH200" s="33" t="s">
        <v>948</v>
      </c>
      <c r="AI200" s="9">
        <v>778000</v>
      </c>
      <c r="AJ200" s="5">
        <v>46017</v>
      </c>
      <c r="AK200" s="4">
        <v>47</v>
      </c>
      <c r="AL200" s="14">
        <v>46037</v>
      </c>
    </row>
    <row r="201" spans="1:38" ht="43.5">
      <c r="A201" s="4" t="s">
        <v>50</v>
      </c>
      <c r="B201" s="4">
        <v>9</v>
      </c>
      <c r="C201" s="4">
        <v>11</v>
      </c>
      <c r="D201" s="6" t="s">
        <v>319</v>
      </c>
      <c r="E201" s="4" t="s">
        <v>10</v>
      </c>
      <c r="F201" s="4" t="str" cm="1">
        <f t="array" ref="F201">_xlfn.IFS(
  E201="Mahuva", "Mahuva",
  E201="Jesar", "Mahuva",
  E201="Palitana", "Palitana",
  E201="Gariyadhar", "Palitana",
  E201="Talaja", "Talaja",
  E201="Vallabhipur", "Vallabhipur",
  E201="Umrala", "Vallabhipur",
  E201="Shihor", "Shihor",
  E201="Ghogha", "Bhavnagar",
  E201="Bhavnagar", "Bhavnagar"
)</f>
        <v>Mahuva</v>
      </c>
      <c r="G201" s="4" t="s">
        <v>19</v>
      </c>
      <c r="H201" s="4">
        <v>199604</v>
      </c>
      <c r="I201" s="4">
        <v>1</v>
      </c>
      <c r="J201" s="5">
        <v>45841</v>
      </c>
      <c r="K201" s="5">
        <v>45852</v>
      </c>
      <c r="L201" s="5">
        <v>45853</v>
      </c>
      <c r="M201" s="7">
        <v>10473002.869999999</v>
      </c>
      <c r="N201" s="7">
        <v>11075200.539999999</v>
      </c>
      <c r="O201" s="8">
        <v>5.75</v>
      </c>
      <c r="P201" s="8" t="str">
        <f>IF(O201&lt;0,"Below",IF(O201&gt;0,"Above","Equals"))</f>
        <v>Above</v>
      </c>
      <c r="Q201" s="4" t="s">
        <v>16</v>
      </c>
      <c r="R201" s="5">
        <v>45863</v>
      </c>
      <c r="S201" s="15" t="s">
        <v>540</v>
      </c>
      <c r="T201" s="14">
        <v>45877</v>
      </c>
      <c r="U201" s="12">
        <v>6</v>
      </c>
      <c r="V201" s="4">
        <v>1254</v>
      </c>
      <c r="W201" s="14">
        <v>45903</v>
      </c>
      <c r="X201" s="4" t="s">
        <v>50</v>
      </c>
      <c r="Y201" s="13">
        <v>245</v>
      </c>
      <c r="Z201" s="26">
        <v>46014</v>
      </c>
      <c r="AA201" s="4" t="s">
        <v>302</v>
      </c>
      <c r="AB201" s="4" t="s">
        <v>541</v>
      </c>
      <c r="AC201" s="33" t="s">
        <v>837</v>
      </c>
      <c r="AD201" s="9">
        <v>554000</v>
      </c>
      <c r="AE201" s="5">
        <v>46011</v>
      </c>
      <c r="AF201" s="11"/>
      <c r="AG201" s="11"/>
      <c r="AI201" s="9"/>
      <c r="AJ201" s="11"/>
      <c r="AK201" s="4">
        <v>1789</v>
      </c>
      <c r="AL201" s="14">
        <v>46014</v>
      </c>
    </row>
    <row r="202" spans="1:38" ht="58">
      <c r="A202" s="4" t="s">
        <v>50</v>
      </c>
      <c r="B202" s="4">
        <v>9</v>
      </c>
      <c r="C202" s="4">
        <v>12</v>
      </c>
      <c r="D202" s="6" t="s">
        <v>318</v>
      </c>
      <c r="E202" s="4" t="s">
        <v>207</v>
      </c>
      <c r="F202" s="4" t="str" cm="1">
        <f t="array" ref="F202">_xlfn.IFS(
  E202="Mahuva", "Mahuva",
  E202="Jesar", "Mahuva",
  E202="Palitana", "Palitana",
  E202="Gariyadhar", "Palitana",
  E202="Talaja", "Talaja",
  E202="Vallabhipur", "Vallabhipur",
  E202="Umrala", "Vallabhipur",
  E202="Shihor", "Shihor",
  E202="Ghogha", "Bhavnagar",
  E202="Bhavnagar", "Bhavnagar"
)</f>
        <v>Palitana</v>
      </c>
      <c r="G202" s="4" t="s">
        <v>19</v>
      </c>
      <c r="H202" s="4">
        <v>199605</v>
      </c>
      <c r="I202" s="4">
        <v>1</v>
      </c>
      <c r="J202" s="5">
        <v>45841</v>
      </c>
      <c r="K202" s="5">
        <v>45852</v>
      </c>
      <c r="L202" s="5">
        <v>45853</v>
      </c>
      <c r="M202" s="7">
        <v>27666802.899999999</v>
      </c>
      <c r="N202" s="7">
        <v>21884441.09</v>
      </c>
      <c r="O202" s="8">
        <v>-20.9</v>
      </c>
      <c r="P202" s="8" t="str">
        <f>IF(O202&lt;0,"Below",IF(O202&gt;0,"Above","Equals"))</f>
        <v>Below</v>
      </c>
      <c r="Q202" s="4" t="s">
        <v>949</v>
      </c>
      <c r="R202" s="5">
        <v>45863</v>
      </c>
      <c r="S202" s="6" t="s">
        <v>639</v>
      </c>
      <c r="T202" s="14">
        <v>45887</v>
      </c>
      <c r="U202" s="12">
        <v>10</v>
      </c>
      <c r="V202" s="4">
        <v>1260</v>
      </c>
      <c r="W202" s="14">
        <v>45904</v>
      </c>
      <c r="X202" s="4" t="s">
        <v>50</v>
      </c>
      <c r="Y202" s="13">
        <v>264</v>
      </c>
      <c r="Z202" s="26">
        <v>46037</v>
      </c>
      <c r="AA202" s="4" t="s">
        <v>302</v>
      </c>
      <c r="AB202" s="4" t="s">
        <v>390</v>
      </c>
      <c r="AC202" s="33" t="s">
        <v>951</v>
      </c>
      <c r="AD202" s="9">
        <v>1095000</v>
      </c>
      <c r="AE202" s="5">
        <v>46007</v>
      </c>
      <c r="AF202" s="4" t="s">
        <v>302</v>
      </c>
      <c r="AG202" s="4" t="s">
        <v>390</v>
      </c>
      <c r="AH202" s="33" t="s">
        <v>952</v>
      </c>
      <c r="AI202" s="9">
        <v>905000</v>
      </c>
      <c r="AJ202" s="5">
        <v>46007</v>
      </c>
      <c r="AK202" s="4">
        <v>48</v>
      </c>
      <c r="AL202" s="14">
        <v>46037</v>
      </c>
    </row>
    <row r="203" spans="1:38" ht="43.5">
      <c r="A203" s="4" t="str">
        <f>A202</f>
        <v>2025-26</v>
      </c>
      <c r="B203" s="4">
        <f>B202</f>
        <v>9</v>
      </c>
      <c r="C203" s="4">
        <f>C202+1</f>
        <v>13</v>
      </c>
      <c r="D203" s="6" t="s">
        <v>1145</v>
      </c>
      <c r="E203" s="4" t="s">
        <v>11</v>
      </c>
      <c r="F203" s="4" t="str" cm="1">
        <f t="array" ref="F203">_xlfn.IFS(
  E203="Mahuva", "Mahuva",
  E203="Jesar", "Mahuva",
  E203="Palitana", "Palitana",
  E203="Gariyadhar", "Palitana",
  E203="Talaja", "Talaja",
  E203="Vallabhipur", "Vallabhipur",
  E203="Umrala", "Vallabhipur",
  E203="Shihor", "Shihor",
  E203="Ghogha", "Bhavnagar",
  E203="Bhavnagar", "Bhavnagar"
)</f>
        <v>Shihor</v>
      </c>
      <c r="G203" s="4" t="s">
        <v>19</v>
      </c>
      <c r="H203" s="4">
        <v>293775</v>
      </c>
      <c r="I203" s="4"/>
      <c r="M203" s="7">
        <v>40159587.280000001</v>
      </c>
      <c r="N203" s="7">
        <v>36143628.549999997</v>
      </c>
      <c r="O203" s="8">
        <v>-10</v>
      </c>
      <c r="P203" s="8" t="str">
        <f>IF(O203&lt;0,"Below",IF(O203&gt;0,"Above","Equals"))</f>
        <v>Below</v>
      </c>
      <c r="Q203" s="4" t="s">
        <v>13</v>
      </c>
      <c r="R203" s="5">
        <v>46155</v>
      </c>
      <c r="S203" s="15"/>
      <c r="U203" s="12"/>
      <c r="V203" s="4"/>
      <c r="X203" s="4"/>
      <c r="Y203" s="13"/>
      <c r="Z203" s="13"/>
      <c r="AA203" s="4"/>
      <c r="AB203" s="4"/>
      <c r="AD203" s="9"/>
      <c r="AE203" s="5"/>
      <c r="AF203" s="11"/>
      <c r="AG203" s="11"/>
      <c r="AI203" s="9"/>
      <c r="AJ203" s="11"/>
      <c r="AK203" s="4"/>
    </row>
    <row r="204" spans="1:38" ht="43.5">
      <c r="A204" s="4" t="s">
        <v>50</v>
      </c>
      <c r="B204" s="4">
        <v>9</v>
      </c>
      <c r="C204" s="4">
        <v>13</v>
      </c>
      <c r="D204" s="6" t="s">
        <v>324</v>
      </c>
      <c r="E204" s="4" t="s">
        <v>11</v>
      </c>
      <c r="F204" s="4" t="str" cm="1">
        <f t="array" ref="F204">_xlfn.IFS(
  E204="Mahuva", "Mahuva",
  E204="Jesar", "Mahuva",
  E204="Palitana", "Palitana",
  E204="Gariyadhar", "Palitana",
  E204="Talaja", "Talaja",
  E204="Vallabhipur", "Vallabhipur",
  E204="Umrala", "Vallabhipur",
  E204="Shihor", "Shihor",
  E204="Ghogha", "Bhavnagar",
  E204="Bhavnagar", "Bhavnagar"
)</f>
        <v>Shihor</v>
      </c>
      <c r="G204" s="4" t="s">
        <v>19</v>
      </c>
      <c r="H204" s="4">
        <v>199608</v>
      </c>
      <c r="I204" s="4">
        <v>1</v>
      </c>
      <c r="J204" s="5">
        <v>45841</v>
      </c>
      <c r="K204" s="5">
        <v>45852</v>
      </c>
      <c r="L204" s="5">
        <v>45853</v>
      </c>
      <c r="M204" s="7">
        <v>7466411.8799999999</v>
      </c>
      <c r="N204" s="7">
        <v>5811855.0099999998</v>
      </c>
      <c r="O204" s="8">
        <v>-22.16</v>
      </c>
      <c r="P204" s="8" t="str">
        <f>IF(O204&lt;0,"Below",IF(O204&gt;0,"Above","Equals"))</f>
        <v>Below</v>
      </c>
      <c r="Q204" s="4" t="s">
        <v>325</v>
      </c>
      <c r="R204" s="5">
        <v>45863</v>
      </c>
      <c r="S204" s="15" t="s">
        <v>620</v>
      </c>
      <c r="T204" s="14">
        <v>45877</v>
      </c>
      <c r="U204" s="12">
        <v>6</v>
      </c>
      <c r="V204" s="4">
        <v>1220</v>
      </c>
      <c r="W204" s="14">
        <v>45898</v>
      </c>
      <c r="X204" s="4" t="s">
        <v>50</v>
      </c>
      <c r="Y204" s="13">
        <v>190</v>
      </c>
      <c r="Z204" s="26">
        <v>45943</v>
      </c>
      <c r="AA204" s="4" t="s">
        <v>299</v>
      </c>
      <c r="AB204" s="4" t="s">
        <v>312</v>
      </c>
      <c r="AC204" s="33">
        <v>44461392653</v>
      </c>
      <c r="AD204" s="9">
        <v>291000</v>
      </c>
      <c r="AE204" s="5">
        <v>45911</v>
      </c>
      <c r="AF204" s="4" t="s">
        <v>299</v>
      </c>
      <c r="AG204" s="4" t="s">
        <v>312</v>
      </c>
      <c r="AH204" s="33">
        <v>44461391773</v>
      </c>
      <c r="AI204" s="9">
        <v>273000</v>
      </c>
      <c r="AJ204" s="5">
        <v>45911</v>
      </c>
      <c r="AK204" s="4">
        <v>1474</v>
      </c>
      <c r="AL204" s="14">
        <v>45943</v>
      </c>
    </row>
    <row r="205" spans="1:38" ht="43.5">
      <c r="A205" s="4" t="s">
        <v>50</v>
      </c>
      <c r="B205" s="4">
        <v>9</v>
      </c>
      <c r="C205" s="4">
        <v>14</v>
      </c>
      <c r="D205" s="6" t="s">
        <v>329</v>
      </c>
      <c r="E205" s="4" t="s">
        <v>3</v>
      </c>
      <c r="F205" s="4" t="str" cm="1">
        <f t="array" ref="F205">_xlfn.IFS(
  E205="Mahuva", "Mahuva",
  E205="Jesar", "Mahuva",
  E205="Palitana", "Palitana",
  E205="Gariyadhar", "Palitana",
  E205="Talaja", "Talaja",
  E205="Vallabhipur", "Vallabhipur",
  E205="Umrala", "Vallabhipur",
  E205="Shihor", "Shihor",
  E205="Ghogha", "Bhavnagar",
  E205="Bhavnagar", "Bhavnagar"
)</f>
        <v>Talaja</v>
      </c>
      <c r="G205" s="4" t="s">
        <v>19</v>
      </c>
      <c r="I205" s="4">
        <v>2</v>
      </c>
      <c r="J205" s="5">
        <v>45841</v>
      </c>
      <c r="K205" s="5">
        <v>45852</v>
      </c>
      <c r="L205" s="5">
        <v>45853</v>
      </c>
      <c r="M205" s="7">
        <v>55033209.789999999</v>
      </c>
      <c r="O205" s="8"/>
      <c r="P205" s="8" t="str">
        <f>IF(O205&lt;0,"Below",IF(O205&gt;0,"Above","Equals"))</f>
        <v>Equals</v>
      </c>
      <c r="R205" s="5"/>
      <c r="S205" s="6"/>
      <c r="U205" s="12"/>
      <c r="V205" s="4"/>
      <c r="X205" s="4"/>
      <c r="Y205" s="13"/>
      <c r="Z205" s="13"/>
      <c r="AA205" s="4"/>
      <c r="AB205" s="4"/>
      <c r="AD205" s="9"/>
      <c r="AE205" s="5"/>
      <c r="AF205" s="11"/>
      <c r="AG205" s="11"/>
      <c r="AI205" s="9"/>
      <c r="AJ205" s="11"/>
      <c r="AK205" s="4"/>
    </row>
    <row r="206" spans="1:38" ht="43.5">
      <c r="A206" s="4" t="s">
        <v>50</v>
      </c>
      <c r="B206" s="4">
        <v>9</v>
      </c>
      <c r="C206" s="4">
        <v>15</v>
      </c>
      <c r="D206" s="6" t="s">
        <v>326</v>
      </c>
      <c r="E206" s="4" t="s">
        <v>3</v>
      </c>
      <c r="F206" s="4" t="str" cm="1">
        <f t="array" ref="F206">_xlfn.IFS(
  E206="Mahuva", "Mahuva",
  E206="Jesar", "Mahuva",
  E206="Palitana", "Palitana",
  E206="Gariyadhar", "Palitana",
  E206="Talaja", "Talaja",
  E206="Vallabhipur", "Vallabhipur",
  E206="Umrala", "Vallabhipur",
  E206="Shihor", "Shihor",
  E206="Ghogha", "Bhavnagar",
  E206="Bhavnagar", "Bhavnagar"
)</f>
        <v>Talaja</v>
      </c>
      <c r="G206" s="4" t="s">
        <v>19</v>
      </c>
      <c r="H206" s="4">
        <v>199607</v>
      </c>
      <c r="I206" s="4">
        <v>2</v>
      </c>
      <c r="J206" s="5">
        <v>45841</v>
      </c>
      <c r="K206" s="5">
        <v>45852</v>
      </c>
      <c r="L206" s="5">
        <v>45853</v>
      </c>
      <c r="M206" s="7">
        <v>22338543.73</v>
      </c>
      <c r="N206" s="7">
        <v>27029637.91</v>
      </c>
      <c r="O206" s="8">
        <v>21</v>
      </c>
      <c r="P206" s="8" t="str">
        <f>IF(O206&lt;0,"Below",IF(O206&gt;0,"Above","Equals"))</f>
        <v>Above</v>
      </c>
      <c r="Q206" s="4" t="s">
        <v>52</v>
      </c>
      <c r="R206" s="5">
        <v>45863</v>
      </c>
      <c r="S206" s="6" t="s">
        <v>621</v>
      </c>
      <c r="T206" s="14">
        <v>45881</v>
      </c>
      <c r="U206" s="12">
        <v>8</v>
      </c>
      <c r="V206" s="4">
        <v>1255</v>
      </c>
      <c r="W206" s="14">
        <v>45903</v>
      </c>
      <c r="X206" s="4" t="s">
        <v>50</v>
      </c>
      <c r="Y206" s="13">
        <v>288</v>
      </c>
      <c r="Z206" s="26">
        <v>46045</v>
      </c>
      <c r="AA206" s="4" t="s">
        <v>299</v>
      </c>
      <c r="AB206" s="4" t="s">
        <v>312</v>
      </c>
      <c r="AC206" s="33">
        <v>44723051515</v>
      </c>
      <c r="AD206" s="9">
        <v>1352000</v>
      </c>
      <c r="AE206" s="5">
        <v>46000</v>
      </c>
      <c r="AF206" s="11"/>
      <c r="AG206" s="11"/>
      <c r="AI206" s="9"/>
      <c r="AJ206" s="11"/>
      <c r="AK206" s="4">
        <v>86</v>
      </c>
      <c r="AL206" s="14">
        <v>46045</v>
      </c>
    </row>
    <row r="207" spans="1:38" ht="58">
      <c r="A207" s="4" t="s">
        <v>50</v>
      </c>
      <c r="B207" s="4">
        <v>10</v>
      </c>
      <c r="C207" s="4">
        <v>1</v>
      </c>
      <c r="D207" s="6" t="s">
        <v>557</v>
      </c>
      <c r="E207" s="4"/>
      <c r="F207" s="4" t="e" cm="1">
        <f t="array" ref="F207">_xlfn.IFS(
  E207="Mahuva", "Mahuva",
  E207="Jesar", "Mahuva",
  E207="Palitana", "Palitana",
  E207="Gariyadhar", "Palitana",
  E207="Talaja", "Talaja",
  E207="Vallabhipur", "Vallabhipur",
  E207="Umrala", "Vallabhipur",
  E207="Shihor", "Shihor",
  E207="Ghogha", "Bhavnagar",
  E207="Bhavnagar", "Bhavnagar"
)</f>
        <v>#N/A</v>
      </c>
      <c r="G207" s="4" t="s">
        <v>562</v>
      </c>
      <c r="H207" s="4">
        <v>199490</v>
      </c>
      <c r="I207" s="4">
        <v>1</v>
      </c>
      <c r="M207" s="7">
        <v>247012304.03</v>
      </c>
      <c r="O207" s="8"/>
      <c r="P207" s="8" t="str">
        <f>IF(O207&lt;0,"Below",IF(O207&gt;0,"Above","Equals"))</f>
        <v>Equals</v>
      </c>
      <c r="R207" s="5"/>
      <c r="S207" s="6"/>
      <c r="U207" s="12"/>
      <c r="V207" s="4"/>
      <c r="X207" s="4"/>
      <c r="Y207" s="13"/>
      <c r="Z207" s="13"/>
      <c r="AA207" s="4"/>
      <c r="AB207" s="4"/>
      <c r="AD207" s="9"/>
      <c r="AE207" s="5"/>
      <c r="AF207" s="11"/>
      <c r="AG207" s="11"/>
      <c r="AI207" s="9"/>
      <c r="AJ207" s="11"/>
      <c r="AK207" s="4"/>
    </row>
    <row r="208" spans="1:38" ht="87">
      <c r="A208" s="4" t="s">
        <v>50</v>
      </c>
      <c r="B208" s="4">
        <v>10</v>
      </c>
      <c r="C208" s="4">
        <v>2</v>
      </c>
      <c r="D208" s="6" t="s">
        <v>558</v>
      </c>
      <c r="E208" s="4"/>
      <c r="F208" s="4" t="e" cm="1">
        <f t="array" ref="F208">_xlfn.IFS(
  E208="Mahuva", "Mahuva",
  E208="Jesar", "Mahuva",
  E208="Palitana", "Palitana",
  E208="Gariyadhar", "Palitana",
  E208="Talaja", "Talaja",
  E208="Vallabhipur", "Vallabhipur",
  E208="Umrala", "Vallabhipur",
  E208="Shihor", "Shihor",
  E208="Ghogha", "Bhavnagar",
  E208="Bhavnagar", "Bhavnagar"
)</f>
        <v>#N/A</v>
      </c>
      <c r="G208" s="4" t="s">
        <v>562</v>
      </c>
      <c r="H208" s="4">
        <v>199492</v>
      </c>
      <c r="I208" s="4">
        <v>1</v>
      </c>
      <c r="M208" s="7">
        <v>248929554.08000001</v>
      </c>
      <c r="O208" s="8"/>
      <c r="P208" s="8" t="str">
        <f>IF(O208&lt;0,"Below",IF(O208&gt;0,"Above","Equals"))</f>
        <v>Equals</v>
      </c>
      <c r="R208" s="5"/>
      <c r="S208" s="6"/>
      <c r="U208" s="12"/>
      <c r="V208" s="4"/>
      <c r="X208" s="4"/>
      <c r="Y208" s="13"/>
      <c r="Z208" s="13"/>
      <c r="AA208" s="4"/>
      <c r="AB208" s="4"/>
      <c r="AD208" s="9"/>
      <c r="AE208" s="5"/>
      <c r="AF208" s="11"/>
      <c r="AG208" s="11"/>
      <c r="AI208" s="9"/>
      <c r="AJ208" s="11"/>
      <c r="AK208" s="4"/>
    </row>
    <row r="209" spans="1:38" ht="58">
      <c r="A209" s="4" t="s">
        <v>50</v>
      </c>
      <c r="B209" s="4">
        <v>11</v>
      </c>
      <c r="C209" s="4">
        <v>1</v>
      </c>
      <c r="D209" s="6" t="s">
        <v>526</v>
      </c>
      <c r="E209" s="4" t="s">
        <v>207</v>
      </c>
      <c r="F209" s="4" t="str" cm="1">
        <f t="array" ref="F209">_xlfn.IFS(
  E209="Mahuva", "Mahuva",
  E209="Jesar", "Mahuva",
  E209="Palitana", "Palitana",
  E209="Gariyadhar", "Palitana",
  E209="Talaja", "Talaja",
  E209="Vallabhipur", "Vallabhipur",
  E209="Umrala", "Vallabhipur",
  E209="Shihor", "Shihor",
  E209="Ghogha", "Bhavnagar",
  E209="Bhavnagar", "Bhavnagar"
)</f>
        <v>Palitana</v>
      </c>
      <c r="G209" s="4" t="s">
        <v>206</v>
      </c>
      <c r="I209" s="4">
        <v>9</v>
      </c>
      <c r="O209" s="8"/>
      <c r="P209" s="8" t="str">
        <f>IF(O209&lt;0,"Below",IF(O209&gt;0,"Above","Equals"))</f>
        <v>Equals</v>
      </c>
      <c r="R209" s="5"/>
      <c r="S209" s="6"/>
      <c r="U209" s="12"/>
      <c r="V209" s="4"/>
      <c r="X209" s="4"/>
      <c r="Y209" s="13"/>
      <c r="Z209" s="13"/>
      <c r="AA209" s="4"/>
      <c r="AB209" s="4"/>
      <c r="AD209" s="9"/>
      <c r="AE209" s="5"/>
      <c r="AF209" s="11"/>
      <c r="AG209" s="11"/>
      <c r="AI209" s="9"/>
      <c r="AJ209" s="11"/>
      <c r="AK209" s="4"/>
    </row>
    <row r="210" spans="1:38" ht="43.5">
      <c r="A210" s="4" t="s">
        <v>50</v>
      </c>
      <c r="B210" s="4">
        <v>11</v>
      </c>
      <c r="C210" s="4">
        <v>2</v>
      </c>
      <c r="D210" s="6" t="s">
        <v>208</v>
      </c>
      <c r="E210" s="4" t="s">
        <v>207</v>
      </c>
      <c r="F210" s="4" t="str" cm="1">
        <f t="array" ref="F210">_xlfn.IFS(
  E210="Mahuva", "Mahuva",
  E210="Jesar", "Mahuva",
  E210="Palitana", "Palitana",
  E210="Gariyadhar", "Palitana",
  E210="Talaja", "Talaja",
  E210="Vallabhipur", "Vallabhipur",
  E210="Umrala", "Vallabhipur",
  E210="Shihor", "Shihor",
  E210="Ghogha", "Bhavnagar",
  E210="Bhavnagar", "Bhavnagar"
)</f>
        <v>Palitana</v>
      </c>
      <c r="G210" s="4" t="s">
        <v>206</v>
      </c>
      <c r="I210" s="4">
        <v>9</v>
      </c>
      <c r="O210" s="8"/>
      <c r="P210" s="8" t="str">
        <f>IF(O210&lt;0,"Below",IF(O210&gt;0,"Above","Equals"))</f>
        <v>Equals</v>
      </c>
      <c r="R210" s="5"/>
      <c r="S210" s="6"/>
      <c r="U210" s="12"/>
      <c r="V210" s="4"/>
      <c r="X210" s="4"/>
      <c r="Y210" s="13"/>
      <c r="Z210" s="13"/>
      <c r="AA210" s="4"/>
      <c r="AB210" s="4"/>
      <c r="AD210" s="9"/>
      <c r="AE210" s="5"/>
      <c r="AF210" s="11"/>
      <c r="AG210" s="11"/>
      <c r="AI210" s="9"/>
      <c r="AJ210" s="11"/>
      <c r="AK210" s="4"/>
    </row>
    <row r="211" spans="1:38" ht="58">
      <c r="A211" s="4" t="s">
        <v>50</v>
      </c>
      <c r="B211" s="4">
        <v>11</v>
      </c>
      <c r="C211" s="4">
        <v>3</v>
      </c>
      <c r="D211" s="6" t="s">
        <v>209</v>
      </c>
      <c r="E211" s="4" t="s">
        <v>0</v>
      </c>
      <c r="F211" s="4" t="str" cm="1">
        <f t="array" ref="F211">_xlfn.IFS(
  E211="Mahuva", "Mahuva",
  E211="Jesar", "Mahuva",
  E211="Palitana", "Palitana",
  E211="Gariyadhar", "Palitana",
  E211="Talaja", "Talaja",
  E211="Vallabhipur", "Vallabhipur",
  E211="Umrala", "Vallabhipur",
  E211="Shihor", "Shihor",
  E211="Ghogha", "Bhavnagar",
  E211="Bhavnagar", "Bhavnagar"
)</f>
        <v>Bhavnagar</v>
      </c>
      <c r="G211" s="4" t="s">
        <v>206</v>
      </c>
      <c r="I211" s="4">
        <v>7</v>
      </c>
      <c r="O211" s="8"/>
      <c r="P211" s="8" t="str">
        <f>IF(O211&lt;0,"Below",IF(O211&gt;0,"Above","Equals"))</f>
        <v>Equals</v>
      </c>
      <c r="R211" s="5"/>
      <c r="S211" s="6"/>
      <c r="U211" s="12"/>
      <c r="V211" s="4"/>
      <c r="X211" s="4"/>
      <c r="Y211" s="13"/>
      <c r="Z211" s="13"/>
      <c r="AA211" s="4"/>
      <c r="AB211" s="4"/>
      <c r="AD211" s="9"/>
      <c r="AE211" s="5"/>
      <c r="AF211" s="11"/>
      <c r="AG211" s="11"/>
      <c r="AI211" s="9"/>
      <c r="AJ211" s="11"/>
      <c r="AK211" s="4"/>
    </row>
    <row r="212" spans="1:38" ht="43.5">
      <c r="A212" s="4" t="s">
        <v>50</v>
      </c>
      <c r="B212" s="4">
        <v>11</v>
      </c>
      <c r="C212" s="4">
        <v>4</v>
      </c>
      <c r="D212" s="6" t="s">
        <v>210</v>
      </c>
      <c r="E212" s="4" t="s">
        <v>0</v>
      </c>
      <c r="F212" s="4" t="str" cm="1">
        <f t="array" ref="F212">_xlfn.IFS(
  E212="Mahuva", "Mahuva",
  E212="Jesar", "Mahuva",
  E212="Palitana", "Palitana",
  E212="Gariyadhar", "Palitana",
  E212="Talaja", "Talaja",
  E212="Vallabhipur", "Vallabhipur",
  E212="Umrala", "Vallabhipur",
  E212="Shihor", "Shihor",
  E212="Ghogha", "Bhavnagar",
  E212="Bhavnagar", "Bhavnagar"
)</f>
        <v>Bhavnagar</v>
      </c>
      <c r="G212" s="4" t="s">
        <v>206</v>
      </c>
      <c r="I212" s="4">
        <v>3</v>
      </c>
      <c r="O212" s="8"/>
      <c r="P212" s="8" t="str">
        <f>IF(O212&lt;0,"Below",IF(O212&gt;0,"Above","Equals"))</f>
        <v>Equals</v>
      </c>
      <c r="R212" s="5"/>
      <c r="S212" s="6"/>
      <c r="U212" s="12"/>
      <c r="V212" s="4"/>
      <c r="X212" s="4"/>
      <c r="Y212" s="13"/>
      <c r="Z212" s="13"/>
      <c r="AA212" s="4"/>
      <c r="AB212" s="4"/>
      <c r="AD212" s="9"/>
      <c r="AE212" s="5"/>
      <c r="AF212" s="11"/>
      <c r="AG212" s="11"/>
      <c r="AI212" s="9"/>
      <c r="AJ212" s="11"/>
      <c r="AK212" s="4"/>
    </row>
    <row r="213" spans="1:38" ht="43.5">
      <c r="A213" s="4" t="s">
        <v>50</v>
      </c>
      <c r="B213" s="4">
        <v>11</v>
      </c>
      <c r="C213" s="4">
        <v>5</v>
      </c>
      <c r="D213" s="6" t="s">
        <v>217</v>
      </c>
      <c r="E213" s="4" t="s">
        <v>10</v>
      </c>
      <c r="F213" s="4" t="str" cm="1">
        <f t="array" ref="F213">_xlfn.IFS(
  E213="Mahuva", "Mahuva",
  E213="Jesar", "Mahuva",
  E213="Palitana", "Palitana",
  E213="Gariyadhar", "Palitana",
  E213="Talaja", "Talaja",
  E213="Vallabhipur", "Vallabhipur",
  E213="Umrala", "Vallabhipur",
  E213="Shihor", "Shihor",
  E213="Ghogha", "Bhavnagar",
  E213="Bhavnagar", "Bhavnagar"
)</f>
        <v>Mahuva</v>
      </c>
      <c r="G213" s="4" t="s">
        <v>206</v>
      </c>
      <c r="I213" s="4">
        <v>3</v>
      </c>
      <c r="O213" s="8"/>
      <c r="P213" s="8" t="str">
        <f>IF(O213&lt;0,"Below",IF(O213&gt;0,"Above","Equals"))</f>
        <v>Equals</v>
      </c>
      <c r="R213" s="5"/>
      <c r="S213" s="6"/>
      <c r="U213" s="12"/>
      <c r="V213" s="4"/>
      <c r="X213" s="4"/>
      <c r="Y213" s="13"/>
      <c r="Z213" s="13"/>
      <c r="AA213" s="4"/>
      <c r="AB213" s="4"/>
      <c r="AD213" s="9"/>
      <c r="AE213" s="5"/>
      <c r="AF213" s="11"/>
      <c r="AG213" s="11"/>
      <c r="AI213" s="9"/>
      <c r="AJ213" s="11"/>
      <c r="AK213" s="4"/>
    </row>
    <row r="214" spans="1:38" ht="43.5">
      <c r="A214" s="4" t="s">
        <v>50</v>
      </c>
      <c r="B214" s="4">
        <v>11</v>
      </c>
      <c r="C214" s="4">
        <v>6</v>
      </c>
      <c r="D214" s="6" t="s">
        <v>218</v>
      </c>
      <c r="E214" s="4" t="s">
        <v>10</v>
      </c>
      <c r="F214" s="4" t="str" cm="1">
        <f t="array" ref="F214">_xlfn.IFS(
  E214="Mahuva", "Mahuva",
  E214="Jesar", "Mahuva",
  E214="Palitana", "Palitana",
  E214="Gariyadhar", "Palitana",
  E214="Talaja", "Talaja",
  E214="Vallabhipur", "Vallabhipur",
  E214="Umrala", "Vallabhipur",
  E214="Shihor", "Shihor",
  E214="Ghogha", "Bhavnagar",
  E214="Bhavnagar", "Bhavnagar"
)</f>
        <v>Mahuva</v>
      </c>
      <c r="G214" s="4" t="s">
        <v>206</v>
      </c>
      <c r="I214" s="4">
        <v>3</v>
      </c>
      <c r="O214" s="8"/>
      <c r="P214" s="8" t="str">
        <f>IF(O214&lt;0,"Below",IF(O214&gt;0,"Above","Equals"))</f>
        <v>Equals</v>
      </c>
      <c r="R214" s="5"/>
      <c r="S214" s="6"/>
      <c r="U214" s="12"/>
      <c r="V214" s="4"/>
      <c r="X214" s="4"/>
      <c r="Y214" s="13"/>
      <c r="Z214" s="13"/>
      <c r="AA214" s="4"/>
      <c r="AB214" s="4"/>
      <c r="AD214" s="9"/>
      <c r="AE214" s="5"/>
      <c r="AF214" s="11"/>
      <c r="AG214" s="11"/>
      <c r="AI214" s="9"/>
      <c r="AJ214" s="11"/>
      <c r="AK214" s="4"/>
    </row>
    <row r="215" spans="1:38" ht="43.5">
      <c r="A215" s="4" t="s">
        <v>50</v>
      </c>
      <c r="B215" s="4">
        <v>11</v>
      </c>
      <c r="C215" s="4">
        <v>7</v>
      </c>
      <c r="D215" s="6" t="s">
        <v>219</v>
      </c>
      <c r="E215" s="4" t="s">
        <v>10</v>
      </c>
      <c r="F215" s="4" t="str" cm="1">
        <f t="array" ref="F215">_xlfn.IFS(
  E215="Mahuva", "Mahuva",
  E215="Jesar", "Mahuva",
  E215="Palitana", "Palitana",
  E215="Gariyadhar", "Palitana",
  E215="Talaja", "Talaja",
  E215="Vallabhipur", "Vallabhipur",
  E215="Umrala", "Vallabhipur",
  E215="Shihor", "Shihor",
  E215="Ghogha", "Bhavnagar",
  E215="Bhavnagar", "Bhavnagar"
)</f>
        <v>Mahuva</v>
      </c>
      <c r="G215" s="4" t="s">
        <v>206</v>
      </c>
      <c r="I215" s="4">
        <v>3</v>
      </c>
      <c r="O215" s="8"/>
      <c r="P215" s="8" t="str">
        <f>IF(O215&lt;0,"Below",IF(O215&gt;0,"Above","Equals"))</f>
        <v>Equals</v>
      </c>
      <c r="R215" s="5"/>
      <c r="S215" s="6"/>
      <c r="U215" s="12"/>
      <c r="V215" s="4"/>
      <c r="X215" s="4"/>
      <c r="Y215" s="13"/>
      <c r="Z215" s="13"/>
      <c r="AA215" s="4"/>
      <c r="AB215" s="4"/>
      <c r="AD215" s="9"/>
      <c r="AE215" s="5"/>
      <c r="AF215" s="11"/>
      <c r="AG215" s="11"/>
      <c r="AI215" s="9"/>
      <c r="AJ215" s="11"/>
      <c r="AK215" s="4"/>
    </row>
    <row r="216" spans="1:38" ht="43.5">
      <c r="A216" s="4" t="s">
        <v>50</v>
      </c>
      <c r="B216" s="4">
        <v>11</v>
      </c>
      <c r="C216" s="4">
        <v>8</v>
      </c>
      <c r="D216" s="6" t="s">
        <v>220</v>
      </c>
      <c r="E216" s="4" t="s">
        <v>10</v>
      </c>
      <c r="F216" s="4" t="str" cm="1">
        <f t="array" ref="F216">_xlfn.IFS(
  E216="Mahuva", "Mahuva",
  E216="Jesar", "Mahuva",
  E216="Palitana", "Palitana",
  E216="Gariyadhar", "Palitana",
  E216="Talaja", "Talaja",
  E216="Vallabhipur", "Vallabhipur",
  E216="Umrala", "Vallabhipur",
  E216="Shihor", "Shihor",
  E216="Ghogha", "Bhavnagar",
  E216="Bhavnagar", "Bhavnagar"
)</f>
        <v>Mahuva</v>
      </c>
      <c r="G216" s="4" t="s">
        <v>206</v>
      </c>
      <c r="I216" s="4">
        <v>3</v>
      </c>
      <c r="O216" s="8"/>
      <c r="P216" s="8" t="str">
        <f>IF(O216&lt;0,"Below",IF(O216&gt;0,"Above","Equals"))</f>
        <v>Equals</v>
      </c>
      <c r="R216" s="5"/>
      <c r="S216" s="6"/>
      <c r="U216" s="12"/>
      <c r="V216" s="4"/>
      <c r="X216" s="4"/>
      <c r="Y216" s="13"/>
      <c r="Z216" s="13"/>
      <c r="AA216" s="4"/>
      <c r="AB216" s="4"/>
      <c r="AD216" s="9"/>
      <c r="AE216" s="5"/>
      <c r="AF216" s="11"/>
      <c r="AG216" s="11"/>
      <c r="AI216" s="9"/>
      <c r="AJ216" s="11"/>
      <c r="AK216" s="4"/>
    </row>
    <row r="217" spans="1:38" ht="43.5">
      <c r="A217" s="4" t="s">
        <v>50</v>
      </c>
      <c r="B217" s="4">
        <v>11</v>
      </c>
      <c r="C217" s="4">
        <v>9</v>
      </c>
      <c r="D217" s="6" t="s">
        <v>221</v>
      </c>
      <c r="E217" s="4" t="s">
        <v>10</v>
      </c>
      <c r="F217" s="4" t="str" cm="1">
        <f t="array" ref="F217">_xlfn.IFS(
  E217="Mahuva", "Mahuva",
  E217="Jesar", "Mahuva",
  E217="Palitana", "Palitana",
  E217="Gariyadhar", "Palitana",
  E217="Talaja", "Talaja",
  E217="Vallabhipur", "Vallabhipur",
  E217="Umrala", "Vallabhipur",
  E217="Shihor", "Shihor",
  E217="Ghogha", "Bhavnagar",
  E217="Bhavnagar", "Bhavnagar"
)</f>
        <v>Mahuva</v>
      </c>
      <c r="G217" s="4" t="s">
        <v>206</v>
      </c>
      <c r="I217" s="4">
        <v>3</v>
      </c>
      <c r="O217" s="8"/>
      <c r="P217" s="8" t="str">
        <f>IF(O217&lt;0,"Below",IF(O217&gt;0,"Above","Equals"))</f>
        <v>Equals</v>
      </c>
      <c r="R217" s="5"/>
      <c r="S217" s="6"/>
      <c r="U217" s="12"/>
      <c r="V217" s="4"/>
      <c r="X217" s="4"/>
      <c r="Y217" s="13"/>
      <c r="Z217" s="13"/>
      <c r="AA217" s="4"/>
      <c r="AB217" s="4"/>
      <c r="AD217" s="9"/>
      <c r="AE217" s="5"/>
      <c r="AF217" s="11"/>
      <c r="AG217" s="11"/>
      <c r="AI217" s="9"/>
      <c r="AJ217" s="11"/>
      <c r="AK217" s="4"/>
    </row>
    <row r="218" spans="1:38" ht="43.5">
      <c r="A218" s="4" t="s">
        <v>50</v>
      </c>
      <c r="B218" s="4">
        <v>11</v>
      </c>
      <c r="C218" s="4">
        <v>10</v>
      </c>
      <c r="D218" s="6" t="s">
        <v>555</v>
      </c>
      <c r="E218" s="4" t="s">
        <v>10</v>
      </c>
      <c r="F218" s="4" t="str" cm="1">
        <f t="array" ref="F218">_xlfn.IFS(
  E218="Mahuva", "Mahuva",
  E218="Jesar", "Mahuva",
  E218="Palitana", "Palitana",
  E218="Gariyadhar", "Palitana",
  E218="Talaja", "Talaja",
  E218="Vallabhipur", "Vallabhipur",
  E218="Umrala", "Vallabhipur",
  E218="Shihor", "Shihor",
  E218="Ghogha", "Bhavnagar",
  E218="Bhavnagar", "Bhavnagar"
)</f>
        <v>Mahuva</v>
      </c>
      <c r="G218" s="4" t="s">
        <v>206</v>
      </c>
      <c r="H218" s="4">
        <v>199528</v>
      </c>
      <c r="I218" s="4">
        <v>3</v>
      </c>
      <c r="K218" s="5">
        <v>45848</v>
      </c>
      <c r="M218" s="7">
        <v>1024912.96</v>
      </c>
      <c r="N218" s="7">
        <v>1024912.96</v>
      </c>
      <c r="O218" s="8">
        <v>0</v>
      </c>
      <c r="P218" s="8" t="str">
        <f>IF(O218&lt;0,"Below",IF(O218&gt;0,"Above","Equals"))</f>
        <v>Equals</v>
      </c>
      <c r="Q218" s="4" t="s">
        <v>352</v>
      </c>
      <c r="R218" s="5"/>
      <c r="S218" s="6"/>
      <c r="U218" s="12">
        <v>3</v>
      </c>
      <c r="V218" s="4">
        <v>1282</v>
      </c>
      <c r="W218" s="14">
        <v>45909</v>
      </c>
      <c r="X218" s="4" t="s">
        <v>50</v>
      </c>
      <c r="Y218" s="13">
        <v>282</v>
      </c>
      <c r="Z218" s="26">
        <v>46042</v>
      </c>
      <c r="AA218" s="4" t="s">
        <v>299</v>
      </c>
      <c r="AB218" s="4" t="s">
        <v>312</v>
      </c>
      <c r="AC218" s="33">
        <v>44814558317</v>
      </c>
      <c r="AD218" s="9">
        <v>52000</v>
      </c>
      <c r="AE218" s="5">
        <v>46030</v>
      </c>
      <c r="AF218" s="11"/>
      <c r="AG218" s="11"/>
      <c r="AI218" s="9"/>
      <c r="AJ218" s="11"/>
      <c r="AK218" s="4">
        <v>76</v>
      </c>
      <c r="AL218" s="26">
        <v>46042</v>
      </c>
    </row>
    <row r="219" spans="1:38" ht="43.5">
      <c r="A219" s="4" t="s">
        <v>50</v>
      </c>
      <c r="B219" s="4">
        <v>11</v>
      </c>
      <c r="C219" s="4">
        <v>11</v>
      </c>
      <c r="D219" s="6" t="s">
        <v>223</v>
      </c>
      <c r="E219" s="4" t="s">
        <v>10</v>
      </c>
      <c r="F219" s="4" t="str" cm="1">
        <f t="array" ref="F219">_xlfn.IFS(
  E219="Mahuva", "Mahuva",
  E219="Jesar", "Mahuva",
  E219="Palitana", "Palitana",
  E219="Gariyadhar", "Palitana",
  E219="Talaja", "Talaja",
  E219="Vallabhipur", "Vallabhipur",
  E219="Umrala", "Vallabhipur",
  E219="Shihor", "Shihor",
  E219="Ghogha", "Bhavnagar",
  E219="Bhavnagar", "Bhavnagar"
)</f>
        <v>Mahuva</v>
      </c>
      <c r="G219" s="4" t="s">
        <v>206</v>
      </c>
      <c r="I219" s="4">
        <v>3</v>
      </c>
      <c r="O219" s="8"/>
      <c r="P219" s="8" t="str">
        <f>IF(O219&lt;0,"Below",IF(O219&gt;0,"Above","Equals"))</f>
        <v>Equals</v>
      </c>
      <c r="R219" s="5"/>
      <c r="S219" s="6"/>
      <c r="U219" s="12"/>
      <c r="V219" s="4"/>
      <c r="X219" s="4"/>
      <c r="Y219" s="13"/>
      <c r="Z219" s="13"/>
      <c r="AA219" s="4"/>
      <c r="AB219" s="4"/>
      <c r="AD219" s="9"/>
      <c r="AE219" s="5"/>
      <c r="AF219" s="11"/>
      <c r="AG219" s="11"/>
      <c r="AI219" s="9"/>
      <c r="AJ219" s="11"/>
      <c r="AK219" s="4"/>
    </row>
    <row r="220" spans="1:38" ht="43.5">
      <c r="A220" s="4" t="s">
        <v>50</v>
      </c>
      <c r="B220" s="4">
        <v>11</v>
      </c>
      <c r="C220" s="4">
        <v>12</v>
      </c>
      <c r="D220" s="6" t="s">
        <v>224</v>
      </c>
      <c r="E220" s="4" t="s">
        <v>10</v>
      </c>
      <c r="F220" s="4" t="str" cm="1">
        <f t="array" ref="F220">_xlfn.IFS(
  E220="Mahuva", "Mahuva",
  E220="Jesar", "Mahuva",
  E220="Palitana", "Palitana",
  E220="Gariyadhar", "Palitana",
  E220="Talaja", "Talaja",
  E220="Vallabhipur", "Vallabhipur",
  E220="Umrala", "Vallabhipur",
  E220="Shihor", "Shihor",
  E220="Ghogha", "Bhavnagar",
  E220="Bhavnagar", "Bhavnagar"
)</f>
        <v>Mahuva</v>
      </c>
      <c r="G220" s="4" t="s">
        <v>206</v>
      </c>
      <c r="I220" s="4">
        <v>3</v>
      </c>
      <c r="O220" s="8"/>
      <c r="P220" s="8" t="str">
        <f>IF(O220&lt;0,"Below",IF(O220&gt;0,"Above","Equals"))</f>
        <v>Equals</v>
      </c>
      <c r="R220" s="5"/>
      <c r="S220" s="6"/>
      <c r="U220" s="12"/>
      <c r="V220" s="4"/>
      <c r="X220" s="4"/>
      <c r="Y220" s="13"/>
      <c r="Z220" s="13"/>
      <c r="AA220" s="4"/>
      <c r="AB220" s="4"/>
      <c r="AD220" s="9"/>
      <c r="AE220" s="5"/>
      <c r="AF220" s="11"/>
      <c r="AG220" s="11"/>
      <c r="AI220" s="9"/>
      <c r="AJ220" s="11"/>
      <c r="AK220" s="4"/>
    </row>
    <row r="221" spans="1:38" ht="43.5">
      <c r="A221" s="4" t="s">
        <v>50</v>
      </c>
      <c r="B221" s="4">
        <v>11</v>
      </c>
      <c r="C221" s="4">
        <v>13</v>
      </c>
      <c r="D221" s="43" t="s">
        <v>556</v>
      </c>
      <c r="E221" s="4" t="s">
        <v>10</v>
      </c>
      <c r="F221" s="4" t="str" cm="1">
        <f t="array" ref="F221">_xlfn.IFS(
  E221="Mahuva", "Mahuva",
  E221="Jesar", "Mahuva",
  E221="Palitana", "Palitana",
  E221="Gariyadhar", "Palitana",
  E221="Talaja", "Talaja",
  E221="Vallabhipur", "Vallabhipur",
  E221="Umrala", "Vallabhipur",
  E221="Shihor", "Shihor",
  E221="Ghogha", "Bhavnagar",
  E221="Bhavnagar", "Bhavnagar"
)</f>
        <v>Mahuva</v>
      </c>
      <c r="G221" s="4" t="s">
        <v>206</v>
      </c>
      <c r="H221" s="4">
        <v>199533</v>
      </c>
      <c r="I221" s="4">
        <v>3</v>
      </c>
      <c r="K221" s="5">
        <v>45848</v>
      </c>
      <c r="M221" s="7">
        <v>1024912.96</v>
      </c>
      <c r="N221" s="7">
        <v>988528.55</v>
      </c>
      <c r="O221" s="8">
        <v>-3.55</v>
      </c>
      <c r="P221" s="8" t="str">
        <f>IF(O221&lt;0,"Below",IF(O221&gt;0,"Above","Equals"))</f>
        <v>Below</v>
      </c>
      <c r="Q221" s="4" t="s">
        <v>333</v>
      </c>
      <c r="R221" s="5"/>
      <c r="S221" s="6"/>
      <c r="U221" s="12">
        <v>3</v>
      </c>
      <c r="V221" s="4">
        <v>1206</v>
      </c>
      <c r="W221" s="14">
        <v>45895</v>
      </c>
      <c r="X221" s="4" t="s">
        <v>50</v>
      </c>
      <c r="Y221" s="13">
        <v>145</v>
      </c>
      <c r="Z221" s="26">
        <v>45910</v>
      </c>
      <c r="AA221" s="4" t="s">
        <v>299</v>
      </c>
      <c r="AB221" s="4" t="s">
        <v>300</v>
      </c>
      <c r="AC221" s="33">
        <v>78049184775</v>
      </c>
      <c r="AD221" s="9">
        <v>50000</v>
      </c>
      <c r="AE221" s="5">
        <v>45903</v>
      </c>
      <c r="AF221" s="11"/>
      <c r="AG221" s="11"/>
      <c r="AI221" s="9"/>
      <c r="AJ221" s="11"/>
      <c r="AK221" s="4">
        <v>1288</v>
      </c>
      <c r="AL221" s="14">
        <v>45910</v>
      </c>
    </row>
    <row r="222" spans="1:38" ht="43.5">
      <c r="A222" s="4" t="s">
        <v>50</v>
      </c>
      <c r="B222" s="4">
        <v>11</v>
      </c>
      <c r="C222" s="4">
        <v>14</v>
      </c>
      <c r="D222" s="6" t="s">
        <v>226</v>
      </c>
      <c r="E222" s="4" t="s">
        <v>10</v>
      </c>
      <c r="F222" s="4" t="str" cm="1">
        <f t="array" ref="F222">_xlfn.IFS(
  E222="Mahuva", "Mahuva",
  E222="Jesar", "Mahuva",
  E222="Palitana", "Palitana",
  E222="Gariyadhar", "Palitana",
  E222="Talaja", "Talaja",
  E222="Vallabhipur", "Vallabhipur",
  E222="Umrala", "Vallabhipur",
  E222="Shihor", "Shihor",
  E222="Ghogha", "Bhavnagar",
  E222="Bhavnagar", "Bhavnagar"
)</f>
        <v>Mahuva</v>
      </c>
      <c r="G222" s="4" t="s">
        <v>206</v>
      </c>
      <c r="I222" s="4">
        <v>3</v>
      </c>
      <c r="O222" s="8"/>
      <c r="P222" s="8" t="str">
        <f>IF(O222&lt;0,"Below",IF(O222&gt;0,"Above","Equals"))</f>
        <v>Equals</v>
      </c>
      <c r="R222" s="5"/>
      <c r="S222" s="6"/>
      <c r="U222" s="12"/>
      <c r="V222" s="4"/>
      <c r="X222" s="4"/>
      <c r="Y222" s="13"/>
      <c r="Z222" s="13"/>
      <c r="AA222" s="4"/>
      <c r="AB222" s="4"/>
      <c r="AD222" s="9"/>
      <c r="AE222" s="5"/>
      <c r="AF222" s="11"/>
      <c r="AG222" s="11"/>
      <c r="AI222" s="9"/>
      <c r="AJ222" s="11"/>
      <c r="AK222" s="4"/>
    </row>
    <row r="223" spans="1:38" ht="58">
      <c r="A223" s="4" t="s">
        <v>50</v>
      </c>
      <c r="B223" s="4">
        <v>12</v>
      </c>
      <c r="C223" s="4">
        <v>1</v>
      </c>
      <c r="D223" s="6" t="s">
        <v>557</v>
      </c>
      <c r="E223" s="4" t="s">
        <v>0</v>
      </c>
      <c r="F223" s="4" t="str" cm="1">
        <f t="array" ref="F223">_xlfn.IFS(
  E223="Mahuva", "Mahuva",
  E223="Jesar", "Mahuva",
  E223="Palitana", "Palitana",
  E223="Gariyadhar", "Palitana",
  E223="Talaja", "Talaja",
  E223="Vallabhipur", "Vallabhipur",
  E223="Umrala", "Vallabhipur",
  E223="Shihor", "Shihor",
  E223="Ghogha", "Bhavnagar",
  E223="Bhavnagar", "Bhavnagar"
)</f>
        <v>Bhavnagar</v>
      </c>
      <c r="G223" s="4" t="s">
        <v>562</v>
      </c>
      <c r="H223" s="4">
        <v>203561</v>
      </c>
      <c r="I223" s="4">
        <v>2</v>
      </c>
      <c r="J223" s="5">
        <v>45848</v>
      </c>
      <c r="K223" s="5">
        <v>45856</v>
      </c>
      <c r="L223" s="5">
        <v>45857</v>
      </c>
      <c r="M223" s="7">
        <v>247012304.43000001</v>
      </c>
      <c r="N223" s="7">
        <v>258992401.19</v>
      </c>
      <c r="O223" s="8">
        <v>4.8499999999999996</v>
      </c>
      <c r="P223" s="8" t="str">
        <f>IF(O223&lt;0,"Below",IF(O223&gt;0,"Above","Equals"))</f>
        <v>Above</v>
      </c>
      <c r="Q223" s="4" t="s">
        <v>573</v>
      </c>
      <c r="R223" s="5">
        <v>45875</v>
      </c>
      <c r="S223" s="6" t="s">
        <v>653</v>
      </c>
      <c r="T223" s="14">
        <v>45910</v>
      </c>
      <c r="U223" s="12">
        <v>12</v>
      </c>
      <c r="V223" s="4">
        <v>1400</v>
      </c>
      <c r="W223" s="14">
        <v>45929</v>
      </c>
      <c r="X223" s="4"/>
      <c r="Y223" s="13"/>
      <c r="Z223" s="13"/>
      <c r="AA223" s="4"/>
      <c r="AB223" s="4"/>
      <c r="AD223" s="9"/>
      <c r="AE223" s="5"/>
      <c r="AF223" s="11"/>
      <c r="AG223" s="11"/>
      <c r="AI223" s="9"/>
      <c r="AJ223" s="11"/>
      <c r="AK223" s="4"/>
    </row>
    <row r="224" spans="1:38" ht="87">
      <c r="A224" s="4" t="s">
        <v>50</v>
      </c>
      <c r="B224" s="4">
        <v>12</v>
      </c>
      <c r="C224" s="4">
        <v>2</v>
      </c>
      <c r="D224" s="6" t="s">
        <v>558</v>
      </c>
      <c r="E224" s="4" t="s">
        <v>0</v>
      </c>
      <c r="F224" s="4" t="str" cm="1">
        <f t="array" ref="F224">_xlfn.IFS(
  E224="Mahuva", "Mahuva",
  E224="Jesar", "Mahuva",
  E224="Palitana", "Palitana",
  E224="Gariyadhar", "Palitana",
  E224="Talaja", "Talaja",
  E224="Vallabhipur", "Vallabhipur",
  E224="Umrala", "Vallabhipur",
  E224="Shihor", "Shihor",
  E224="Ghogha", "Bhavnagar",
  E224="Bhavnagar", "Bhavnagar"
)</f>
        <v>Bhavnagar</v>
      </c>
      <c r="G224" s="4" t="s">
        <v>562</v>
      </c>
      <c r="H224" s="4">
        <v>203610</v>
      </c>
      <c r="I224" s="4">
        <v>2</v>
      </c>
      <c r="J224" s="5">
        <v>45848</v>
      </c>
      <c r="K224" s="5">
        <v>45856</v>
      </c>
      <c r="L224" s="5">
        <v>45857</v>
      </c>
      <c r="M224" s="7">
        <v>248929554.08000001</v>
      </c>
      <c r="N224" s="7">
        <v>334063461.57999998</v>
      </c>
      <c r="O224" s="8">
        <v>34.200000000000003</v>
      </c>
      <c r="P224" s="8" t="str">
        <f>IF(O224&lt;0,"Below",IF(O224&gt;0,"Above","Equals"))</f>
        <v>Above</v>
      </c>
      <c r="Q224" s="4" t="s">
        <v>574</v>
      </c>
      <c r="R224" s="5">
        <v>45875</v>
      </c>
      <c r="S224" s="6"/>
      <c r="T224" s="14" t="s">
        <v>734</v>
      </c>
      <c r="U224" s="12"/>
      <c r="V224" s="4"/>
      <c r="W224" s="14" t="s">
        <v>734</v>
      </c>
      <c r="X224" s="4"/>
      <c r="Y224" s="13"/>
      <c r="Z224" s="13"/>
      <c r="AA224" s="4"/>
      <c r="AB224" s="4"/>
      <c r="AD224" s="9"/>
      <c r="AE224" s="5"/>
      <c r="AF224" s="11"/>
      <c r="AG224" s="11"/>
      <c r="AI224" s="9"/>
      <c r="AJ224" s="11"/>
      <c r="AK224" s="4"/>
    </row>
    <row r="225" spans="1:38" ht="72.5">
      <c r="A225" s="4" t="s">
        <v>50</v>
      </c>
      <c r="B225" s="4">
        <v>13</v>
      </c>
      <c r="C225" s="4">
        <v>1</v>
      </c>
      <c r="D225" s="6" t="s">
        <v>559</v>
      </c>
      <c r="E225" s="4" t="s">
        <v>0</v>
      </c>
      <c r="F225" s="4" t="str" cm="1">
        <f t="array" ref="F225">_xlfn.IFS(
  E225="Mahuva", "Mahuva",
  E225="Jesar", "Mahuva",
  E225="Palitana", "Palitana",
  E225="Gariyadhar", "Palitana",
  E225="Talaja", "Talaja",
  E225="Vallabhipur", "Vallabhipur",
  E225="Umrala", "Vallabhipur",
  E225="Shihor", "Shihor",
  E225="Ghogha", "Bhavnagar",
  E225="Bhavnagar", "Bhavnagar"
)</f>
        <v>Bhavnagar</v>
      </c>
      <c r="G225" s="4" t="s">
        <v>562</v>
      </c>
      <c r="I225" s="4">
        <v>1</v>
      </c>
      <c r="O225" s="8"/>
      <c r="P225" s="8" t="str">
        <f>IF(O225&lt;0,"Below",IF(O225&gt;0,"Above","Equals"))</f>
        <v>Equals</v>
      </c>
      <c r="R225" s="5"/>
      <c r="S225" s="6"/>
      <c r="U225" s="12"/>
      <c r="V225" s="4"/>
      <c r="X225" s="4"/>
      <c r="Y225" s="13"/>
      <c r="Z225" s="13"/>
      <c r="AA225" s="4"/>
      <c r="AB225" s="4"/>
      <c r="AD225" s="9"/>
      <c r="AE225" s="5"/>
      <c r="AF225" s="11"/>
      <c r="AG225" s="11"/>
      <c r="AI225" s="9"/>
      <c r="AJ225" s="11"/>
      <c r="AK225" s="4"/>
    </row>
    <row r="226" spans="1:38" ht="43.5">
      <c r="A226" s="4" t="s">
        <v>50</v>
      </c>
      <c r="B226" s="4">
        <v>14</v>
      </c>
      <c r="C226" s="4">
        <v>1</v>
      </c>
      <c r="D226" s="6" t="s">
        <v>575</v>
      </c>
      <c r="E226" s="4" t="s">
        <v>10</v>
      </c>
      <c r="F226" s="4" t="str" cm="1">
        <f t="array" ref="F226">_xlfn.IFS(
  E226="Mahuva", "Mahuva",
  E226="Jesar", "Mahuva",
  E226="Palitana", "Palitana",
  E226="Gariyadhar", "Palitana",
  E226="Talaja", "Talaja",
  E226="Vallabhipur", "Vallabhipur",
  E226="Umrala", "Vallabhipur",
  E226="Shihor", "Shihor",
  E226="Ghogha", "Bhavnagar",
  E226="Bhavnagar", "Bhavnagar"
)</f>
        <v>Mahuva</v>
      </c>
      <c r="G226" s="4" t="s">
        <v>206</v>
      </c>
      <c r="H226" s="4">
        <v>211655</v>
      </c>
      <c r="I226" s="4"/>
      <c r="J226" s="5">
        <v>45872</v>
      </c>
      <c r="K226" s="5">
        <v>45880</v>
      </c>
      <c r="L226" s="5">
        <v>45881</v>
      </c>
      <c r="M226" s="7">
        <v>2079935.08</v>
      </c>
      <c r="N226" s="7">
        <v>1960338.81</v>
      </c>
      <c r="O226" s="8">
        <v>-5.75</v>
      </c>
      <c r="P226" s="8" t="str">
        <f>IF(O226&lt;0,"Below",IF(O226&gt;0,"Above","Equals"))</f>
        <v>Below</v>
      </c>
      <c r="Q226" s="4" t="s">
        <v>564</v>
      </c>
      <c r="R226" s="5"/>
      <c r="S226" s="6"/>
      <c r="U226" s="12">
        <v>4</v>
      </c>
      <c r="V226" s="4">
        <v>1370</v>
      </c>
      <c r="W226" s="14">
        <v>45922</v>
      </c>
      <c r="X226" s="4" t="s">
        <v>50</v>
      </c>
      <c r="Y226" s="13">
        <v>183</v>
      </c>
      <c r="Z226" s="26">
        <v>45943</v>
      </c>
      <c r="AA226" s="4" t="s">
        <v>299</v>
      </c>
      <c r="AB226" s="4" t="s">
        <v>712</v>
      </c>
      <c r="AC226" s="33" t="s">
        <v>724</v>
      </c>
      <c r="AD226" s="9">
        <v>99000</v>
      </c>
      <c r="AE226" s="5">
        <v>45937</v>
      </c>
      <c r="AF226" s="11"/>
      <c r="AG226" s="11"/>
      <c r="AI226" s="9"/>
      <c r="AJ226" s="11"/>
      <c r="AK226" s="4">
        <v>1457</v>
      </c>
      <c r="AL226" s="14">
        <v>45943</v>
      </c>
    </row>
    <row r="227" spans="1:38" ht="43.5">
      <c r="A227" s="4" t="s">
        <v>50</v>
      </c>
      <c r="B227" s="4">
        <v>14</v>
      </c>
      <c r="C227" s="4">
        <v>2</v>
      </c>
      <c r="D227" s="6" t="s">
        <v>576</v>
      </c>
      <c r="E227" s="4" t="s">
        <v>10</v>
      </c>
      <c r="F227" s="4" t="str" cm="1">
        <f t="array" ref="F227">_xlfn.IFS(
  E227="Mahuva", "Mahuva",
  E227="Jesar", "Mahuva",
  E227="Palitana", "Palitana",
  E227="Gariyadhar", "Palitana",
  E227="Talaja", "Talaja",
  E227="Vallabhipur", "Vallabhipur",
  E227="Umrala", "Vallabhipur",
  E227="Shihor", "Shihor",
  E227="Ghogha", "Bhavnagar",
  E227="Bhavnagar", "Bhavnagar"
)</f>
        <v>Mahuva</v>
      </c>
      <c r="G227" s="4" t="s">
        <v>206</v>
      </c>
      <c r="H227" s="4">
        <v>211703</v>
      </c>
      <c r="I227" s="4"/>
      <c r="J227" s="5">
        <v>45872</v>
      </c>
      <c r="K227" s="5">
        <v>45880</v>
      </c>
      <c r="L227" s="5">
        <v>45881</v>
      </c>
      <c r="M227" s="7">
        <v>2079935.08</v>
      </c>
      <c r="N227" s="7">
        <v>2033136.54</v>
      </c>
      <c r="O227" s="8">
        <v>-2.25</v>
      </c>
      <c r="P227" s="8" t="str">
        <f>IF(O227&lt;0,"Below",IF(O227&gt;0,"Above","Equals"))</f>
        <v>Below</v>
      </c>
      <c r="Q227" s="4" t="s">
        <v>564</v>
      </c>
      <c r="R227" s="5"/>
      <c r="S227" s="6"/>
      <c r="U227" s="12">
        <v>4</v>
      </c>
      <c r="V227" s="4">
        <v>1364</v>
      </c>
      <c r="W227" s="14">
        <v>45922</v>
      </c>
      <c r="X227" s="4" t="s">
        <v>50</v>
      </c>
      <c r="Y227" s="13">
        <v>179</v>
      </c>
      <c r="Z227" s="26">
        <v>45943</v>
      </c>
      <c r="AA227" s="4" t="s">
        <v>299</v>
      </c>
      <c r="AB227" s="4" t="s">
        <v>712</v>
      </c>
      <c r="AC227" s="33" t="s">
        <v>720</v>
      </c>
      <c r="AD227" s="9">
        <v>102000</v>
      </c>
      <c r="AE227" s="5">
        <v>45937</v>
      </c>
      <c r="AF227" s="11"/>
      <c r="AG227" s="11"/>
      <c r="AI227" s="9"/>
      <c r="AJ227" s="11"/>
      <c r="AK227" s="4">
        <v>1458</v>
      </c>
      <c r="AL227" s="14">
        <v>45943</v>
      </c>
    </row>
    <row r="228" spans="1:38" ht="43.5">
      <c r="A228" s="4" t="s">
        <v>50</v>
      </c>
      <c r="B228" s="4">
        <v>14</v>
      </c>
      <c r="C228" s="4">
        <v>3</v>
      </c>
      <c r="D228" s="6" t="s">
        <v>577</v>
      </c>
      <c r="E228" s="4" t="s">
        <v>11</v>
      </c>
      <c r="F228" s="4" t="str" cm="1">
        <f t="array" ref="F228">_xlfn.IFS(
  E228="Mahuva", "Mahuva",
  E228="Jesar", "Mahuva",
  E228="Palitana", "Palitana",
  E228="Gariyadhar", "Palitana",
  E228="Talaja", "Talaja",
  E228="Vallabhipur", "Vallabhipur",
  E228="Umrala", "Vallabhipur",
  E228="Shihor", "Shihor",
  E228="Ghogha", "Bhavnagar",
  E228="Bhavnagar", "Bhavnagar"
)</f>
        <v>Shihor</v>
      </c>
      <c r="G228" s="4" t="s">
        <v>206</v>
      </c>
      <c r="H228" s="4">
        <v>211769</v>
      </c>
      <c r="I228" s="4"/>
      <c r="J228" s="5">
        <v>45872</v>
      </c>
      <c r="K228" s="5">
        <v>45880</v>
      </c>
      <c r="L228" s="5">
        <v>45881</v>
      </c>
      <c r="M228" s="7">
        <v>2027056.59</v>
      </c>
      <c r="N228" s="7">
        <v>1924082.12</v>
      </c>
      <c r="O228" s="8">
        <v>-5.08</v>
      </c>
      <c r="P228" s="8" t="str">
        <f>IF(O228&lt;0,"Below",IF(O228&gt;0,"Above","Equals"))</f>
        <v>Below</v>
      </c>
      <c r="Q228" s="4" t="s">
        <v>338</v>
      </c>
      <c r="R228" s="5"/>
      <c r="S228" s="6"/>
      <c r="U228" s="12">
        <v>4</v>
      </c>
      <c r="V228" s="4">
        <v>1318</v>
      </c>
      <c r="W228" s="14">
        <v>45915</v>
      </c>
      <c r="X228" s="4"/>
      <c r="Y228" s="13"/>
      <c r="Z228" s="13"/>
      <c r="AA228" s="4"/>
      <c r="AB228" s="4"/>
      <c r="AD228" s="9"/>
      <c r="AE228" s="5"/>
      <c r="AF228" s="11"/>
      <c r="AG228" s="11"/>
      <c r="AI228" s="9"/>
      <c r="AJ228" s="11"/>
      <c r="AK228" s="4"/>
    </row>
    <row r="229" spans="1:38" ht="43.5">
      <c r="A229" s="4" t="s">
        <v>50</v>
      </c>
      <c r="B229" s="4">
        <v>14</v>
      </c>
      <c r="C229" s="4">
        <v>4</v>
      </c>
      <c r="D229" s="6" t="s">
        <v>578</v>
      </c>
      <c r="E229" s="4" t="s">
        <v>0</v>
      </c>
      <c r="F229" s="4" t="str" cm="1">
        <f t="array" ref="F229">_xlfn.IFS(
  E229="Mahuva", "Mahuva",
  E229="Jesar", "Mahuva",
  E229="Palitana", "Palitana",
  E229="Gariyadhar", "Palitana",
  E229="Talaja", "Talaja",
  E229="Vallabhipur", "Vallabhipur",
  E229="Umrala", "Vallabhipur",
  E229="Shihor", "Shihor",
  E229="Ghogha", "Bhavnagar",
  E229="Bhavnagar", "Bhavnagar"
)</f>
        <v>Bhavnagar</v>
      </c>
      <c r="G229" s="4" t="s">
        <v>206</v>
      </c>
      <c r="H229" s="4">
        <v>211774</v>
      </c>
      <c r="I229" s="4"/>
      <c r="J229" s="5">
        <v>45872</v>
      </c>
      <c r="K229" s="5">
        <v>45880</v>
      </c>
      <c r="L229" s="5">
        <v>45881</v>
      </c>
      <c r="M229" s="7">
        <v>2079935.08</v>
      </c>
      <c r="N229" s="7">
        <v>2079935.08</v>
      </c>
      <c r="O229" s="8">
        <v>0</v>
      </c>
      <c r="P229" s="8" t="str">
        <f>IF(O229&lt;0,"Below",IF(O229&gt;0,"Above","Equals"))</f>
        <v>Equals</v>
      </c>
      <c r="Q229" s="4" t="s">
        <v>560</v>
      </c>
      <c r="R229" s="5"/>
      <c r="S229" s="6"/>
      <c r="U229" s="12">
        <v>4</v>
      </c>
      <c r="V229" s="4">
        <v>1511</v>
      </c>
      <c r="W229" s="14">
        <v>45971</v>
      </c>
      <c r="X229" s="4" t="s">
        <v>50</v>
      </c>
      <c r="Y229" s="13">
        <v>251</v>
      </c>
      <c r="Z229" s="26">
        <v>46014</v>
      </c>
      <c r="AA229" s="4" t="s">
        <v>299</v>
      </c>
      <c r="AB229" s="4" t="s">
        <v>312</v>
      </c>
      <c r="AC229" s="33" t="s">
        <v>838</v>
      </c>
      <c r="AD229" s="9">
        <v>104000</v>
      </c>
      <c r="AE229" s="5">
        <v>46007</v>
      </c>
      <c r="AF229" s="11"/>
      <c r="AG229" s="11"/>
      <c r="AI229" s="9"/>
      <c r="AJ229" s="11"/>
      <c r="AK229" s="4"/>
      <c r="AL229" s="14">
        <v>46014</v>
      </c>
    </row>
    <row r="230" spans="1:38" ht="43.5">
      <c r="A230" s="4" t="s">
        <v>50</v>
      </c>
      <c r="B230" s="4">
        <v>14</v>
      </c>
      <c r="C230" s="4">
        <v>5</v>
      </c>
      <c r="D230" s="6" t="s">
        <v>579</v>
      </c>
      <c r="E230" s="4" t="s">
        <v>0</v>
      </c>
      <c r="F230" s="4" t="str" cm="1">
        <f t="array" ref="F230">_xlfn.IFS(
  E230="Mahuva", "Mahuva",
  E230="Jesar", "Mahuva",
  E230="Palitana", "Palitana",
  E230="Gariyadhar", "Palitana",
  E230="Talaja", "Talaja",
  E230="Vallabhipur", "Vallabhipur",
  E230="Umrala", "Vallabhipur",
  E230="Shihor", "Shihor",
  E230="Ghogha", "Bhavnagar",
  E230="Bhavnagar", "Bhavnagar"
)</f>
        <v>Bhavnagar</v>
      </c>
      <c r="G230" s="4" t="s">
        <v>206</v>
      </c>
      <c r="H230" s="4">
        <v>211776</v>
      </c>
      <c r="I230" s="4"/>
      <c r="J230" s="5">
        <v>45872</v>
      </c>
      <c r="K230" s="5">
        <v>45880</v>
      </c>
      <c r="L230" s="5">
        <v>45881</v>
      </c>
      <c r="M230" s="7">
        <v>2079935.08</v>
      </c>
      <c r="N230" s="7">
        <v>2048320.07</v>
      </c>
      <c r="O230" s="8">
        <v>-1.52</v>
      </c>
      <c r="P230" s="8" t="str">
        <f>IF(O230&lt;0,"Below",IF(O230&gt;0,"Above","Equals"))</f>
        <v>Below</v>
      </c>
      <c r="Q230" s="4" t="s">
        <v>47</v>
      </c>
      <c r="R230" s="5"/>
      <c r="S230" s="6"/>
      <c r="U230" s="12">
        <v>4</v>
      </c>
      <c r="V230" s="4">
        <v>1308</v>
      </c>
      <c r="W230" s="14">
        <v>45915</v>
      </c>
      <c r="X230" s="4" t="s">
        <v>50</v>
      </c>
      <c r="Y230" s="13">
        <v>234</v>
      </c>
      <c r="Z230" s="26">
        <v>46004</v>
      </c>
      <c r="AA230" s="4" t="s">
        <v>302</v>
      </c>
      <c r="AB230" s="4" t="s">
        <v>647</v>
      </c>
      <c r="AC230" s="33" t="s">
        <v>821</v>
      </c>
      <c r="AD230" s="9">
        <v>103000</v>
      </c>
      <c r="AE230" s="5">
        <v>45992</v>
      </c>
      <c r="AF230" s="11"/>
      <c r="AG230" s="11"/>
      <c r="AI230" s="9"/>
      <c r="AJ230" s="11"/>
      <c r="AK230" s="4">
        <v>1699</v>
      </c>
      <c r="AL230" s="14">
        <v>46004</v>
      </c>
    </row>
    <row r="231" spans="1:38" ht="43.5">
      <c r="A231" s="4" t="s">
        <v>50</v>
      </c>
      <c r="B231" s="4">
        <v>14</v>
      </c>
      <c r="C231" s="4">
        <v>6</v>
      </c>
      <c r="D231" s="6" t="s">
        <v>580</v>
      </c>
      <c r="E231" s="4" t="s">
        <v>0</v>
      </c>
      <c r="F231" s="4" t="str" cm="1">
        <f t="array" ref="F231">_xlfn.IFS(
  E231="Mahuva", "Mahuva",
  E231="Jesar", "Mahuva",
  E231="Palitana", "Palitana",
  E231="Gariyadhar", "Palitana",
  E231="Talaja", "Talaja",
  E231="Vallabhipur", "Vallabhipur",
  E231="Umrala", "Vallabhipur",
  E231="Shihor", "Shihor",
  E231="Ghogha", "Bhavnagar",
  E231="Bhavnagar", "Bhavnagar"
)</f>
        <v>Bhavnagar</v>
      </c>
      <c r="G231" s="4" t="s">
        <v>206</v>
      </c>
      <c r="H231" s="4">
        <v>211780</v>
      </c>
      <c r="I231" s="4"/>
      <c r="J231" s="5">
        <v>45872</v>
      </c>
      <c r="K231" s="5">
        <v>45880</v>
      </c>
      <c r="L231" s="5">
        <v>45881</v>
      </c>
      <c r="O231" s="8"/>
      <c r="P231" s="8" t="str">
        <f>IF(O231&lt;0,"Below",IF(O231&gt;0,"Above","Equals"))</f>
        <v>Equals</v>
      </c>
      <c r="R231" s="5"/>
      <c r="S231" s="6"/>
      <c r="U231" s="12"/>
      <c r="V231" s="4"/>
      <c r="X231" s="4"/>
      <c r="Y231" s="13"/>
      <c r="Z231" s="13"/>
      <c r="AA231" s="4"/>
      <c r="AB231" s="4"/>
      <c r="AD231" s="9"/>
      <c r="AE231" s="5"/>
      <c r="AF231" s="11"/>
      <c r="AG231" s="11"/>
      <c r="AI231" s="9"/>
      <c r="AJ231" s="11"/>
      <c r="AK231" s="4"/>
    </row>
    <row r="232" spans="1:38" ht="72.5">
      <c r="A232" s="4" t="s">
        <v>50</v>
      </c>
      <c r="B232" s="4">
        <v>14</v>
      </c>
      <c r="C232" s="4">
        <v>7</v>
      </c>
      <c r="D232" s="6" t="s">
        <v>581</v>
      </c>
      <c r="E232" s="4" t="s">
        <v>0</v>
      </c>
      <c r="F232" s="4" t="str" cm="1">
        <f t="array" ref="F232">_xlfn.IFS(
  E232="Mahuva", "Mahuva",
  E232="Jesar", "Mahuva",
  E232="Palitana", "Palitana",
  E232="Gariyadhar", "Palitana",
  E232="Talaja", "Talaja",
  E232="Vallabhipur", "Vallabhipur",
  E232="Umrala", "Vallabhipur",
  E232="Shihor", "Shihor",
  E232="Ghogha", "Bhavnagar",
  E232="Bhavnagar", "Bhavnagar"
)</f>
        <v>Bhavnagar</v>
      </c>
      <c r="G232" s="4" t="s">
        <v>206</v>
      </c>
      <c r="H232" s="4">
        <v>211781</v>
      </c>
      <c r="I232" s="4"/>
      <c r="J232" s="5">
        <v>45872</v>
      </c>
      <c r="K232" s="5">
        <v>45880</v>
      </c>
      <c r="L232" s="5">
        <v>45881</v>
      </c>
      <c r="M232" s="7">
        <v>2079935.08</v>
      </c>
      <c r="N232" s="7">
        <v>2037712.4</v>
      </c>
      <c r="O232" s="8">
        <v>-2.0299999999999998</v>
      </c>
      <c r="P232" s="8" t="str">
        <f>IF(O232&lt;0,"Below",IF(O232&gt;0,"Above","Equals"))</f>
        <v>Below</v>
      </c>
      <c r="Q232" s="4" t="s">
        <v>339</v>
      </c>
      <c r="R232" s="5"/>
      <c r="S232" s="6"/>
      <c r="U232" s="12">
        <v>4</v>
      </c>
      <c r="V232" s="4">
        <v>1333</v>
      </c>
      <c r="W232" s="14">
        <v>45915</v>
      </c>
      <c r="X232" s="4" t="s">
        <v>50</v>
      </c>
      <c r="Y232" s="13">
        <v>232</v>
      </c>
      <c r="Z232" s="14">
        <v>46004</v>
      </c>
      <c r="AA232" s="4" t="s">
        <v>299</v>
      </c>
      <c r="AB232" s="4" t="s">
        <v>642</v>
      </c>
      <c r="AC232" s="33" t="s">
        <v>819</v>
      </c>
      <c r="AD232" s="9">
        <v>102000</v>
      </c>
      <c r="AE232" s="5">
        <v>45967</v>
      </c>
      <c r="AF232" s="11"/>
      <c r="AG232" s="11"/>
      <c r="AI232" s="9"/>
      <c r="AJ232" s="11"/>
      <c r="AK232" s="4">
        <v>1697</v>
      </c>
      <c r="AL232" s="14">
        <v>46004</v>
      </c>
    </row>
    <row r="233" spans="1:38" ht="72.5">
      <c r="A233" s="4" t="s">
        <v>50</v>
      </c>
      <c r="B233" s="4">
        <v>14</v>
      </c>
      <c r="C233" s="4">
        <v>8</v>
      </c>
      <c r="D233" s="6" t="s">
        <v>582</v>
      </c>
      <c r="E233" s="4" t="s">
        <v>0</v>
      </c>
      <c r="F233" s="4" t="str" cm="1">
        <f t="array" ref="F233">_xlfn.IFS(
  E233="Mahuva", "Mahuva",
  E233="Jesar", "Mahuva",
  E233="Palitana", "Palitana",
  E233="Gariyadhar", "Palitana",
  E233="Talaja", "Talaja",
  E233="Vallabhipur", "Vallabhipur",
  E233="Umrala", "Vallabhipur",
  E233="Shihor", "Shihor",
  E233="Ghogha", "Bhavnagar",
  E233="Bhavnagar", "Bhavnagar"
)</f>
        <v>Bhavnagar</v>
      </c>
      <c r="G233" s="4" t="s">
        <v>206</v>
      </c>
      <c r="H233" s="4">
        <v>211782</v>
      </c>
      <c r="I233" s="4"/>
      <c r="J233" s="5">
        <v>45872</v>
      </c>
      <c r="K233" s="5">
        <v>45880</v>
      </c>
      <c r="L233" s="5">
        <v>45881</v>
      </c>
      <c r="M233" s="7">
        <v>2079935.08</v>
      </c>
      <c r="N233" s="7">
        <v>2027936.7</v>
      </c>
      <c r="O233" s="8">
        <v>-2.5</v>
      </c>
      <c r="P233" s="8" t="str">
        <f>IF(O233&lt;0,"Below",IF(O233&gt;0,"Above","Equals"))</f>
        <v>Below</v>
      </c>
      <c r="Q233" s="4" t="s">
        <v>339</v>
      </c>
      <c r="R233" s="5"/>
      <c r="S233" s="6"/>
      <c r="U233" s="12">
        <v>4</v>
      </c>
      <c r="V233" s="4">
        <v>1328</v>
      </c>
      <c r="W233" s="14">
        <v>45915</v>
      </c>
      <c r="X233" s="4" t="s">
        <v>50</v>
      </c>
      <c r="Y233" s="13">
        <v>233</v>
      </c>
      <c r="Z233" s="14">
        <v>46004</v>
      </c>
      <c r="AA233" s="4" t="s">
        <v>299</v>
      </c>
      <c r="AB233" s="4" t="s">
        <v>642</v>
      </c>
      <c r="AC233" s="33" t="s">
        <v>820</v>
      </c>
      <c r="AD233" s="9">
        <v>102000</v>
      </c>
      <c r="AE233" s="5">
        <v>45967</v>
      </c>
      <c r="AF233" s="11"/>
      <c r="AG233" s="11"/>
      <c r="AI233" s="9"/>
      <c r="AJ233" s="11"/>
      <c r="AK233" s="4">
        <v>1698</v>
      </c>
      <c r="AL233" s="14">
        <v>46004</v>
      </c>
    </row>
    <row r="234" spans="1:38" ht="43.5">
      <c r="A234" s="4" t="s">
        <v>50</v>
      </c>
      <c r="B234" s="4">
        <v>14</v>
      </c>
      <c r="C234" s="4">
        <v>9</v>
      </c>
      <c r="D234" s="6" t="s">
        <v>583</v>
      </c>
      <c r="E234" s="4" t="s">
        <v>207</v>
      </c>
      <c r="F234" s="4" t="str" cm="1">
        <f t="array" ref="F234">_xlfn.IFS(
  E234="Mahuva", "Mahuva",
  E234="Jesar", "Mahuva",
  E234="Palitana", "Palitana",
  E234="Gariyadhar", "Palitana",
  E234="Talaja", "Talaja",
  E234="Vallabhipur", "Vallabhipur",
  E234="Umrala", "Vallabhipur",
  E234="Shihor", "Shihor",
  E234="Ghogha", "Bhavnagar",
  E234="Bhavnagar", "Bhavnagar"
)</f>
        <v>Palitana</v>
      </c>
      <c r="G234" s="4" t="s">
        <v>206</v>
      </c>
      <c r="H234" s="4">
        <v>211783</v>
      </c>
      <c r="I234" s="4"/>
      <c r="J234" s="5">
        <v>45872</v>
      </c>
      <c r="K234" s="5">
        <v>45880</v>
      </c>
      <c r="L234" s="5">
        <v>45881</v>
      </c>
      <c r="M234" s="7">
        <v>2079935.08</v>
      </c>
      <c r="N234" s="7">
        <v>1934339.62</v>
      </c>
      <c r="O234" s="8">
        <v>-7</v>
      </c>
      <c r="P234" s="8" t="str">
        <f>IF(O234&lt;0,"Below",IF(O234&gt;0,"Above","Equals"))</f>
        <v>Below</v>
      </c>
      <c r="Q234" s="4" t="s">
        <v>331</v>
      </c>
      <c r="R234" s="5"/>
      <c r="S234" s="6"/>
      <c r="U234" s="12">
        <v>4</v>
      </c>
      <c r="V234" s="4">
        <v>1311</v>
      </c>
      <c r="W234" s="14">
        <v>45915</v>
      </c>
      <c r="X234" s="4" t="s">
        <v>50</v>
      </c>
      <c r="Y234" s="13">
        <v>200</v>
      </c>
      <c r="Z234" s="26">
        <v>45969</v>
      </c>
      <c r="AA234" s="4" t="s">
        <v>299</v>
      </c>
      <c r="AB234" s="4" t="s">
        <v>725</v>
      </c>
      <c r="AC234" s="33" t="s">
        <v>736</v>
      </c>
      <c r="AD234" s="9">
        <v>97000</v>
      </c>
      <c r="AE234" s="5">
        <v>45958</v>
      </c>
      <c r="AF234" s="11"/>
      <c r="AG234" s="11"/>
      <c r="AI234" s="9"/>
      <c r="AJ234" s="11"/>
      <c r="AK234" s="4">
        <v>1505</v>
      </c>
      <c r="AL234" s="14">
        <v>45969</v>
      </c>
    </row>
    <row r="235" spans="1:38" ht="43.5">
      <c r="A235" s="4" t="s">
        <v>50</v>
      </c>
      <c r="B235" s="4">
        <v>14</v>
      </c>
      <c r="C235" s="4">
        <v>10</v>
      </c>
      <c r="D235" s="6" t="s">
        <v>584</v>
      </c>
      <c r="E235" s="4" t="s">
        <v>207</v>
      </c>
      <c r="F235" s="4" t="str" cm="1">
        <f t="array" ref="F235">_xlfn.IFS(
  E235="Mahuva", "Mahuva",
  E235="Jesar", "Mahuva",
  E235="Palitana", "Palitana",
  E235="Gariyadhar", "Palitana",
  E235="Talaja", "Talaja",
  E235="Vallabhipur", "Vallabhipur",
  E235="Umrala", "Vallabhipur",
  E235="Shihor", "Shihor",
  E235="Ghogha", "Bhavnagar",
  E235="Bhavnagar", "Bhavnagar"
)</f>
        <v>Palitana</v>
      </c>
      <c r="G235" s="4" t="s">
        <v>206</v>
      </c>
      <c r="H235" s="4">
        <v>211785</v>
      </c>
      <c r="I235" s="4"/>
      <c r="J235" s="5">
        <v>45872</v>
      </c>
      <c r="K235" s="5">
        <v>45880</v>
      </c>
      <c r="L235" s="5">
        <v>45881</v>
      </c>
      <c r="M235" s="7">
        <v>2079935.08</v>
      </c>
      <c r="N235" s="7">
        <v>2016913.05</v>
      </c>
      <c r="O235" s="8">
        <v>-3.03</v>
      </c>
      <c r="P235" s="8" t="str">
        <f>IF(O235&lt;0,"Below",IF(O235&gt;0,"Above","Equals"))</f>
        <v>Below</v>
      </c>
      <c r="Q235" s="4" t="s">
        <v>47</v>
      </c>
      <c r="R235" s="5"/>
      <c r="S235" s="6"/>
      <c r="U235" s="12">
        <v>4</v>
      </c>
      <c r="V235" s="4">
        <v>1310</v>
      </c>
      <c r="W235" s="14">
        <v>45915</v>
      </c>
      <c r="X235" s="4" t="s">
        <v>50</v>
      </c>
      <c r="Y235" s="13">
        <v>336</v>
      </c>
      <c r="Z235" s="14">
        <v>46088</v>
      </c>
      <c r="AA235" s="4" t="s">
        <v>302</v>
      </c>
      <c r="AB235" s="4" t="s">
        <v>647</v>
      </c>
      <c r="AC235" s="33" t="s">
        <v>1061</v>
      </c>
      <c r="AD235" s="9">
        <v>101000</v>
      </c>
      <c r="AE235" s="5">
        <v>45992</v>
      </c>
      <c r="AF235" s="11"/>
      <c r="AG235" s="11"/>
      <c r="AI235" s="9"/>
      <c r="AJ235" s="11"/>
      <c r="AK235" s="4">
        <v>340</v>
      </c>
      <c r="AL235" s="14">
        <v>46088</v>
      </c>
    </row>
    <row r="236" spans="1:38" ht="43.5">
      <c r="A236" s="4" t="s">
        <v>50</v>
      </c>
      <c r="B236" s="4">
        <v>14</v>
      </c>
      <c r="C236" s="4">
        <v>11</v>
      </c>
      <c r="D236" s="6" t="s">
        <v>689</v>
      </c>
      <c r="E236" s="4" t="s">
        <v>207</v>
      </c>
      <c r="F236" s="4" t="str" cm="1">
        <f t="array" ref="F236">_xlfn.IFS(
  E236="Mahuva", "Mahuva",
  E236="Jesar", "Mahuva",
  E236="Palitana", "Palitana",
  E236="Gariyadhar", "Palitana",
  E236="Talaja", "Talaja",
  E236="Vallabhipur", "Vallabhipur",
  E236="Umrala", "Vallabhipur",
  E236="Shihor", "Shihor",
  E236="Ghogha", "Bhavnagar",
  E236="Bhavnagar", "Bhavnagar"
)</f>
        <v>Palitana</v>
      </c>
      <c r="G236" s="4" t="s">
        <v>206</v>
      </c>
      <c r="H236" s="4">
        <v>211787</v>
      </c>
      <c r="I236" s="4"/>
      <c r="J236" s="5">
        <v>45872</v>
      </c>
      <c r="K236" s="5">
        <v>45880</v>
      </c>
      <c r="L236" s="5">
        <v>45881</v>
      </c>
      <c r="M236" s="7">
        <v>2079935.08</v>
      </c>
      <c r="N236" s="7">
        <v>2000065.57</v>
      </c>
      <c r="O236" s="8">
        <v>-3.84</v>
      </c>
      <c r="P236" s="8" t="str">
        <f>IF(O236&lt;0,"Below",IF(O236&gt;0,"Above","Equals"))</f>
        <v>Below</v>
      </c>
      <c r="Q236" s="4" t="s">
        <v>561</v>
      </c>
      <c r="R236" s="5"/>
      <c r="S236" s="6"/>
      <c r="U236" s="12">
        <v>4</v>
      </c>
      <c r="V236" s="4">
        <v>1369</v>
      </c>
      <c r="W236" s="14">
        <v>45922</v>
      </c>
      <c r="X236" s="4" t="s">
        <v>50</v>
      </c>
      <c r="Y236" s="13">
        <v>212</v>
      </c>
      <c r="Z236" s="26">
        <v>45979</v>
      </c>
      <c r="AA236" s="4" t="s">
        <v>299</v>
      </c>
      <c r="AB236" s="4" t="s">
        <v>712</v>
      </c>
      <c r="AC236" s="33" t="s">
        <v>760</v>
      </c>
      <c r="AD236" s="9">
        <v>101000</v>
      </c>
      <c r="AE236" s="5">
        <v>45975</v>
      </c>
      <c r="AF236" s="11"/>
      <c r="AG236" s="11"/>
      <c r="AI236" s="9"/>
      <c r="AJ236" s="11"/>
      <c r="AK236" s="4">
        <v>1543</v>
      </c>
      <c r="AL236" s="14">
        <v>45979</v>
      </c>
    </row>
    <row r="237" spans="1:38" ht="43.5">
      <c r="A237" s="4" t="s">
        <v>50</v>
      </c>
      <c r="B237" s="4">
        <v>14</v>
      </c>
      <c r="C237" s="4">
        <v>12</v>
      </c>
      <c r="D237" s="6" t="s">
        <v>656</v>
      </c>
      <c r="E237" s="4" t="s">
        <v>207</v>
      </c>
      <c r="F237" s="4" t="str" cm="1">
        <f t="array" ref="F237">_xlfn.IFS(
  E237="Mahuva", "Mahuva",
  E237="Jesar", "Mahuva",
  E237="Palitana", "Palitana",
  E237="Gariyadhar", "Palitana",
  E237="Talaja", "Talaja",
  E237="Vallabhipur", "Vallabhipur",
  E237="Umrala", "Vallabhipur",
  E237="Shihor", "Shihor",
  E237="Ghogha", "Bhavnagar",
  E237="Bhavnagar", "Bhavnagar"
)</f>
        <v>Palitana</v>
      </c>
      <c r="G237" s="4" t="s">
        <v>206</v>
      </c>
      <c r="H237" s="4">
        <v>211790</v>
      </c>
      <c r="I237" s="4"/>
      <c r="J237" s="5">
        <v>45872</v>
      </c>
      <c r="K237" s="5">
        <v>45880</v>
      </c>
      <c r="L237" s="5">
        <v>45881</v>
      </c>
      <c r="M237" s="7">
        <v>2079935.08</v>
      </c>
      <c r="N237" s="7">
        <v>2026896.74</v>
      </c>
      <c r="O237" s="8">
        <v>-2.5499999999999998</v>
      </c>
      <c r="P237" s="8" t="str">
        <f>IF(O237&lt;0,"Below",IF(O237&gt;0,"Above","Equals"))</f>
        <v>Below</v>
      </c>
      <c r="Q237" s="4" t="s">
        <v>237</v>
      </c>
      <c r="R237" s="5"/>
      <c r="S237" s="6"/>
      <c r="U237" s="12">
        <v>4</v>
      </c>
      <c r="V237" s="4">
        <v>1324</v>
      </c>
      <c r="W237" s="14">
        <v>45915</v>
      </c>
      <c r="X237" s="4" t="s">
        <v>50</v>
      </c>
      <c r="Y237" s="13">
        <v>277</v>
      </c>
      <c r="Z237" s="26">
        <v>46042</v>
      </c>
      <c r="AA237" s="4" t="s">
        <v>299</v>
      </c>
      <c r="AB237" s="4" t="s">
        <v>312</v>
      </c>
      <c r="AC237" s="33" t="s">
        <v>963</v>
      </c>
      <c r="AD237" s="9">
        <v>102000</v>
      </c>
      <c r="AE237" s="5">
        <v>46020</v>
      </c>
      <c r="AF237" s="11"/>
      <c r="AG237" s="11"/>
      <c r="AI237" s="9"/>
      <c r="AJ237" s="11"/>
      <c r="AK237" s="4">
        <v>71</v>
      </c>
      <c r="AL237" s="14">
        <v>46042</v>
      </c>
    </row>
    <row r="238" spans="1:38" ht="43.5">
      <c r="A238" s="4" t="s">
        <v>50</v>
      </c>
      <c r="B238" s="4">
        <v>14</v>
      </c>
      <c r="C238" s="4">
        <v>13</v>
      </c>
      <c r="D238" s="6" t="s">
        <v>585</v>
      </c>
      <c r="E238" s="4" t="s">
        <v>207</v>
      </c>
      <c r="F238" s="4" t="str" cm="1">
        <f t="array" ref="F238">_xlfn.IFS(
  E238="Mahuva", "Mahuva",
  E238="Jesar", "Mahuva",
  E238="Palitana", "Palitana",
  E238="Gariyadhar", "Palitana",
  E238="Talaja", "Talaja",
  E238="Vallabhipur", "Vallabhipur",
  E238="Umrala", "Vallabhipur",
  E238="Shihor", "Shihor",
  E238="Ghogha", "Bhavnagar",
  E238="Bhavnagar", "Bhavnagar"
)</f>
        <v>Palitana</v>
      </c>
      <c r="G238" s="4" t="s">
        <v>206</v>
      </c>
      <c r="H238" s="4">
        <v>211794</v>
      </c>
      <c r="I238" s="4"/>
      <c r="J238" s="5">
        <v>45872</v>
      </c>
      <c r="K238" s="5">
        <v>45880</v>
      </c>
      <c r="L238" s="5">
        <v>45881</v>
      </c>
      <c r="M238" s="7">
        <v>2079935.08</v>
      </c>
      <c r="N238" s="7">
        <v>1903140.6</v>
      </c>
      <c r="O238" s="8">
        <v>-8.5</v>
      </c>
      <c r="P238" s="8" t="str">
        <f>IF(O238&lt;0,"Below",IF(O238&gt;0,"Above","Equals"))</f>
        <v>Below</v>
      </c>
      <c r="Q238" s="4" t="s">
        <v>561</v>
      </c>
      <c r="R238" s="5"/>
      <c r="S238" s="6"/>
      <c r="U238" s="12">
        <v>4</v>
      </c>
      <c r="V238" s="4">
        <v>1361</v>
      </c>
      <c r="W238" s="14">
        <v>45922</v>
      </c>
      <c r="X238" s="4" t="s">
        <v>50</v>
      </c>
      <c r="Y238" s="13">
        <v>213</v>
      </c>
      <c r="Z238" s="26">
        <v>45979</v>
      </c>
      <c r="AA238" s="4" t="s">
        <v>299</v>
      </c>
      <c r="AB238" s="4" t="s">
        <v>712</v>
      </c>
      <c r="AC238" s="33" t="s">
        <v>761</v>
      </c>
      <c r="AD238" s="9">
        <v>96000</v>
      </c>
      <c r="AE238" s="5">
        <v>45975</v>
      </c>
      <c r="AF238" s="11"/>
      <c r="AG238" s="11"/>
      <c r="AI238" s="9"/>
      <c r="AJ238" s="11"/>
      <c r="AK238" s="4">
        <v>1544</v>
      </c>
      <c r="AL238" s="14">
        <v>45979</v>
      </c>
    </row>
    <row r="239" spans="1:38" ht="43.5">
      <c r="A239" s="4" t="s">
        <v>50</v>
      </c>
      <c r="B239" s="4">
        <v>14</v>
      </c>
      <c r="C239" s="4">
        <v>14</v>
      </c>
      <c r="D239" s="6" t="s">
        <v>586</v>
      </c>
      <c r="E239" s="4" t="s">
        <v>279</v>
      </c>
      <c r="F239" s="4" t="str" cm="1">
        <f t="array" ref="F239">_xlfn.IFS(
  E239="Mahuva", "Mahuva",
  E239="Jesar", "Mahuva",
  E239="Palitana", "Palitana",
  E239="Gariyadhar", "Palitana",
  E239="Talaja", "Talaja",
  E239="Vallabhipur", "Vallabhipur",
  E239="Umrala", "Vallabhipur",
  E239="Shihor", "Shihor",
  E239="Ghogha", "Bhavnagar",
  E239="Bhavnagar", "Bhavnagar"
)</f>
        <v>Bhavnagar</v>
      </c>
      <c r="G239" s="4" t="s">
        <v>206</v>
      </c>
      <c r="H239" s="4">
        <v>211795</v>
      </c>
      <c r="I239" s="4"/>
      <c r="J239" s="5">
        <v>45872</v>
      </c>
      <c r="K239" s="5">
        <v>45880</v>
      </c>
      <c r="L239" s="5">
        <v>45881</v>
      </c>
      <c r="M239" s="7">
        <v>2079935.08</v>
      </c>
      <c r="N239" s="7">
        <v>2015249.1</v>
      </c>
      <c r="O239" s="8">
        <v>-3.11</v>
      </c>
      <c r="P239" s="8" t="str">
        <f>IF(O239&lt;0,"Below",IF(O239&gt;0,"Above","Equals"))</f>
        <v>Below</v>
      </c>
      <c r="Q239" s="4" t="s">
        <v>563</v>
      </c>
      <c r="R239" s="5"/>
      <c r="S239" s="6"/>
      <c r="U239" s="12">
        <v>4</v>
      </c>
      <c r="V239" s="4">
        <v>1319</v>
      </c>
      <c r="W239" s="14">
        <v>45915</v>
      </c>
      <c r="X239" s="4" t="s">
        <v>50</v>
      </c>
      <c r="Y239" s="13">
        <v>237</v>
      </c>
      <c r="Z239" s="26">
        <v>46004</v>
      </c>
      <c r="AA239" s="4" t="s">
        <v>299</v>
      </c>
      <c r="AB239" s="4" t="s">
        <v>306</v>
      </c>
      <c r="AC239" s="33" t="s">
        <v>824</v>
      </c>
      <c r="AD239" s="9">
        <v>101000</v>
      </c>
      <c r="AE239" s="5">
        <v>45958</v>
      </c>
      <c r="AF239" s="11"/>
      <c r="AG239" s="11"/>
      <c r="AI239" s="9"/>
      <c r="AJ239" s="11"/>
      <c r="AK239" s="4">
        <v>1702</v>
      </c>
      <c r="AL239" s="14">
        <v>46004</v>
      </c>
    </row>
    <row r="240" spans="1:38" ht="43.5">
      <c r="A240" s="4" t="s">
        <v>50</v>
      </c>
      <c r="B240" s="4">
        <v>14</v>
      </c>
      <c r="C240" s="4">
        <v>15</v>
      </c>
      <c r="D240" s="6" t="s">
        <v>587</v>
      </c>
      <c r="E240" s="4" t="s">
        <v>10</v>
      </c>
      <c r="F240" s="4" t="str" cm="1">
        <f t="array" ref="F240">_xlfn.IFS(
  E240="Mahuva", "Mahuva",
  E240="Jesar", "Mahuva",
  E240="Palitana", "Palitana",
  E240="Gariyadhar", "Palitana",
  E240="Talaja", "Talaja",
  E240="Vallabhipur", "Vallabhipur",
  E240="Umrala", "Vallabhipur",
  E240="Shihor", "Shihor",
  E240="Ghogha", "Bhavnagar",
  E240="Bhavnagar", "Bhavnagar"
)</f>
        <v>Mahuva</v>
      </c>
      <c r="G240" s="4" t="s">
        <v>206</v>
      </c>
      <c r="H240" s="4">
        <v>211796</v>
      </c>
      <c r="I240" s="4"/>
      <c r="J240" s="5">
        <v>45872</v>
      </c>
      <c r="K240" s="5">
        <v>45880</v>
      </c>
      <c r="L240" s="5">
        <v>45881</v>
      </c>
      <c r="M240" s="7">
        <v>2079935.08</v>
      </c>
      <c r="N240" s="7">
        <v>2012337.19</v>
      </c>
      <c r="O240" s="8">
        <v>-3.25</v>
      </c>
      <c r="P240" s="8" t="str">
        <f>IF(O240&lt;0,"Below",IF(O240&gt;0,"Above","Equals"))</f>
        <v>Below</v>
      </c>
      <c r="Q240" s="4" t="s">
        <v>564</v>
      </c>
      <c r="R240" s="5"/>
      <c r="S240" s="6"/>
      <c r="U240" s="12">
        <v>4</v>
      </c>
      <c r="V240" s="4">
        <v>1365</v>
      </c>
      <c r="W240" s="14">
        <v>45922</v>
      </c>
      <c r="X240" s="4" t="s">
        <v>50</v>
      </c>
      <c r="Y240" s="13">
        <v>178</v>
      </c>
      <c r="Z240" s="26">
        <v>45943</v>
      </c>
      <c r="AA240" s="4" t="s">
        <v>299</v>
      </c>
      <c r="AB240" s="4" t="s">
        <v>712</v>
      </c>
      <c r="AC240" s="33" t="s">
        <v>719</v>
      </c>
      <c r="AD240" s="9">
        <v>101000</v>
      </c>
      <c r="AE240" s="5">
        <v>45937</v>
      </c>
      <c r="AF240" s="11"/>
      <c r="AG240" s="11"/>
      <c r="AI240" s="9"/>
      <c r="AJ240" s="11"/>
      <c r="AK240" s="4">
        <v>1459</v>
      </c>
      <c r="AL240" s="14">
        <v>45943</v>
      </c>
    </row>
    <row r="241" spans="1:38" ht="43.5">
      <c r="A241" s="4" t="s">
        <v>50</v>
      </c>
      <c r="B241" s="4">
        <v>14</v>
      </c>
      <c r="C241" s="4">
        <v>16</v>
      </c>
      <c r="D241" s="6" t="s">
        <v>588</v>
      </c>
      <c r="E241" s="4" t="s">
        <v>10</v>
      </c>
      <c r="F241" s="4" t="str" cm="1">
        <f t="array" ref="F241">_xlfn.IFS(
  E241="Mahuva", "Mahuva",
  E241="Jesar", "Mahuva",
  E241="Palitana", "Palitana",
  E241="Gariyadhar", "Palitana",
  E241="Talaja", "Talaja",
  E241="Vallabhipur", "Vallabhipur",
  E241="Umrala", "Vallabhipur",
  E241="Shihor", "Shihor",
  E241="Ghogha", "Bhavnagar",
  E241="Bhavnagar", "Bhavnagar"
)</f>
        <v>Mahuva</v>
      </c>
      <c r="G241" s="4" t="s">
        <v>206</v>
      </c>
      <c r="H241" s="4">
        <v>211797</v>
      </c>
      <c r="I241" s="4"/>
      <c r="J241" s="5">
        <v>45872</v>
      </c>
      <c r="K241" s="5">
        <v>45880</v>
      </c>
      <c r="L241" s="5">
        <v>45881</v>
      </c>
      <c r="M241" s="7">
        <v>2079935.08</v>
      </c>
      <c r="N241" s="7">
        <v>1960338.81</v>
      </c>
      <c r="O241" s="8">
        <v>-5.75</v>
      </c>
      <c r="P241" s="8" t="str">
        <f>IF(O241&lt;0,"Below",IF(O241&gt;0,"Above","Equals"))</f>
        <v>Below</v>
      </c>
      <c r="Q241" s="4" t="s">
        <v>564</v>
      </c>
      <c r="R241" s="5"/>
      <c r="S241" s="6"/>
      <c r="U241" s="12">
        <v>4</v>
      </c>
      <c r="V241" s="4">
        <v>1362</v>
      </c>
      <c r="W241" s="14">
        <v>45922</v>
      </c>
      <c r="X241" s="4" t="s">
        <v>50</v>
      </c>
      <c r="Y241" s="13">
        <v>176</v>
      </c>
      <c r="Z241" s="26">
        <v>45943</v>
      </c>
      <c r="AA241" s="4" t="s">
        <v>299</v>
      </c>
      <c r="AB241" s="4" t="s">
        <v>712</v>
      </c>
      <c r="AC241" s="33" t="s">
        <v>717</v>
      </c>
      <c r="AD241" s="9">
        <v>99000</v>
      </c>
      <c r="AE241" s="5">
        <v>45937</v>
      </c>
      <c r="AF241" s="11"/>
      <c r="AG241" s="11"/>
      <c r="AI241" s="9"/>
      <c r="AJ241" s="11"/>
      <c r="AK241" s="4">
        <v>1460</v>
      </c>
      <c r="AL241" s="14">
        <v>45943</v>
      </c>
    </row>
    <row r="242" spans="1:38" ht="43.5">
      <c r="A242" s="4" t="s">
        <v>50</v>
      </c>
      <c r="B242" s="4">
        <v>14</v>
      </c>
      <c r="C242" s="4">
        <v>17</v>
      </c>
      <c r="D242" s="6" t="s">
        <v>589</v>
      </c>
      <c r="E242" s="4" t="s">
        <v>10</v>
      </c>
      <c r="F242" s="4" t="str" cm="1">
        <f t="array" ref="F242">_xlfn.IFS(
  E242="Mahuva", "Mahuva",
  E242="Jesar", "Mahuva",
  E242="Palitana", "Palitana",
  E242="Gariyadhar", "Palitana",
  E242="Talaja", "Talaja",
  E242="Vallabhipur", "Vallabhipur",
  E242="Umrala", "Vallabhipur",
  E242="Shihor", "Shihor",
  E242="Ghogha", "Bhavnagar",
  E242="Bhavnagar", "Bhavnagar"
)</f>
        <v>Mahuva</v>
      </c>
      <c r="G242" s="4" t="s">
        <v>206</v>
      </c>
      <c r="H242" s="4">
        <v>211798</v>
      </c>
      <c r="I242" s="4"/>
      <c r="J242" s="5">
        <v>45872</v>
      </c>
      <c r="K242" s="5">
        <v>45880</v>
      </c>
      <c r="L242" s="5">
        <v>45881</v>
      </c>
      <c r="M242" s="7">
        <v>2079935.08</v>
      </c>
      <c r="N242" s="7">
        <v>2010673.24</v>
      </c>
      <c r="O242" s="8">
        <v>-3.33</v>
      </c>
      <c r="P242" s="8" t="str">
        <f>IF(O242&lt;0,"Below",IF(O242&gt;0,"Above","Equals"))</f>
        <v>Below</v>
      </c>
      <c r="Q242" s="4" t="s">
        <v>229</v>
      </c>
      <c r="R242" s="5"/>
      <c r="S242" s="6"/>
      <c r="U242" s="12">
        <v>4</v>
      </c>
      <c r="V242" s="4">
        <v>1309</v>
      </c>
      <c r="W242" s="14">
        <v>45915</v>
      </c>
      <c r="X242" s="4" t="s">
        <v>50</v>
      </c>
      <c r="Y242" s="13">
        <v>187</v>
      </c>
      <c r="Z242" s="26">
        <v>45943</v>
      </c>
      <c r="AA242" s="4" t="s">
        <v>299</v>
      </c>
      <c r="AB242" s="4" t="s">
        <v>725</v>
      </c>
      <c r="AC242" s="33" t="s">
        <v>730</v>
      </c>
      <c r="AD242" s="9">
        <v>101000</v>
      </c>
      <c r="AE242" s="5">
        <v>45936</v>
      </c>
      <c r="AF242" s="11"/>
      <c r="AG242" s="11"/>
      <c r="AI242" s="9"/>
      <c r="AJ242" s="11"/>
      <c r="AK242" s="4">
        <v>1471</v>
      </c>
      <c r="AL242" s="14">
        <v>45943</v>
      </c>
    </row>
    <row r="243" spans="1:38" ht="43.5">
      <c r="A243" s="4" t="s">
        <v>50</v>
      </c>
      <c r="B243" s="4">
        <v>14</v>
      </c>
      <c r="C243" s="4">
        <v>18</v>
      </c>
      <c r="D243" s="6" t="s">
        <v>590</v>
      </c>
      <c r="E243" s="4" t="s">
        <v>10</v>
      </c>
      <c r="F243" s="4" t="str" cm="1">
        <f t="array" ref="F243">_xlfn.IFS(
  E243="Mahuva", "Mahuva",
  E243="Jesar", "Mahuva",
  E243="Palitana", "Palitana",
  E243="Gariyadhar", "Palitana",
  E243="Talaja", "Talaja",
  E243="Vallabhipur", "Vallabhipur",
  E243="Umrala", "Vallabhipur",
  E243="Shihor", "Shihor",
  E243="Ghogha", "Bhavnagar",
  E243="Bhavnagar", "Bhavnagar"
)</f>
        <v>Mahuva</v>
      </c>
      <c r="G243" s="4" t="s">
        <v>206</v>
      </c>
      <c r="H243" s="4">
        <v>211800</v>
      </c>
      <c r="I243" s="4"/>
      <c r="J243" s="5">
        <v>45872</v>
      </c>
      <c r="K243" s="5">
        <v>45880</v>
      </c>
      <c r="L243" s="5">
        <v>45881</v>
      </c>
      <c r="M243" s="7">
        <v>2079935.08</v>
      </c>
      <c r="N243" s="7">
        <v>2010673.24</v>
      </c>
      <c r="O243" s="8">
        <v>-3.33</v>
      </c>
      <c r="P243" s="8" t="str">
        <f>IF(O243&lt;0,"Below",IF(O243&gt;0,"Above","Equals"))</f>
        <v>Below</v>
      </c>
      <c r="Q243" s="4" t="s">
        <v>229</v>
      </c>
      <c r="R243" s="5"/>
      <c r="S243" s="6"/>
      <c r="U243" s="12">
        <v>4</v>
      </c>
      <c r="V243" s="4">
        <v>1327</v>
      </c>
      <c r="W243" s="14">
        <v>45915</v>
      </c>
      <c r="X243" s="4" t="s">
        <v>50</v>
      </c>
      <c r="Y243" s="13">
        <v>184</v>
      </c>
      <c r="Z243" s="26">
        <v>45943</v>
      </c>
      <c r="AA243" s="4" t="s">
        <v>299</v>
      </c>
      <c r="AB243" s="4" t="s">
        <v>725</v>
      </c>
      <c r="AC243" s="33" t="s">
        <v>726</v>
      </c>
      <c r="AD243" s="9">
        <v>101000</v>
      </c>
      <c r="AE243" s="5">
        <v>45936</v>
      </c>
      <c r="AF243" s="11"/>
      <c r="AG243" s="11"/>
      <c r="AI243" s="9"/>
      <c r="AJ243" s="11"/>
      <c r="AK243" s="4">
        <v>1468</v>
      </c>
      <c r="AL243" s="14">
        <v>45943</v>
      </c>
    </row>
    <row r="244" spans="1:38" ht="43.5">
      <c r="A244" s="4" t="s">
        <v>50</v>
      </c>
      <c r="B244" s="4">
        <v>14</v>
      </c>
      <c r="C244" s="4">
        <v>19</v>
      </c>
      <c r="D244" s="6" t="s">
        <v>591</v>
      </c>
      <c r="E244" s="4" t="s">
        <v>10</v>
      </c>
      <c r="F244" s="4" t="str" cm="1">
        <f t="array" ref="F244">_xlfn.IFS(
  E244="Mahuva", "Mahuva",
  E244="Jesar", "Mahuva",
  E244="Palitana", "Palitana",
  E244="Gariyadhar", "Palitana",
  E244="Talaja", "Talaja",
  E244="Vallabhipur", "Vallabhipur",
  E244="Umrala", "Vallabhipur",
  E244="Shihor", "Shihor",
  E244="Ghogha", "Bhavnagar",
  E244="Bhavnagar", "Bhavnagar"
)</f>
        <v>Mahuva</v>
      </c>
      <c r="G244" s="4" t="s">
        <v>206</v>
      </c>
      <c r="H244" s="4">
        <v>211801</v>
      </c>
      <c r="I244" s="4"/>
      <c r="J244" s="5">
        <v>45872</v>
      </c>
      <c r="K244" s="5">
        <v>45880</v>
      </c>
      <c r="L244" s="5">
        <v>45881</v>
      </c>
      <c r="M244" s="7">
        <v>2079935.08</v>
      </c>
      <c r="N244" s="7">
        <v>1948899.17</v>
      </c>
      <c r="O244" s="8">
        <v>-6.3</v>
      </c>
      <c r="P244" s="8" t="str">
        <f>IF(O244&lt;0,"Below",IF(O244&gt;0,"Above","Equals"))</f>
        <v>Below</v>
      </c>
      <c r="Q244" s="4" t="s">
        <v>565</v>
      </c>
      <c r="R244" s="5"/>
      <c r="S244" s="6"/>
      <c r="U244" s="12">
        <v>4</v>
      </c>
      <c r="V244" s="4">
        <v>1329</v>
      </c>
      <c r="W244" s="14">
        <v>45915</v>
      </c>
      <c r="X244" s="4" t="s">
        <v>50</v>
      </c>
      <c r="Y244" s="13">
        <v>225</v>
      </c>
      <c r="Z244" s="26">
        <v>46003</v>
      </c>
      <c r="AA244" s="4" t="s">
        <v>299</v>
      </c>
      <c r="AB244" s="4" t="s">
        <v>541</v>
      </c>
      <c r="AC244" s="33" t="s">
        <v>812</v>
      </c>
      <c r="AD244" s="9">
        <v>98000</v>
      </c>
      <c r="AE244" s="5">
        <v>45934</v>
      </c>
      <c r="AF244" s="11"/>
      <c r="AG244" s="11"/>
      <c r="AI244" s="9"/>
      <c r="AJ244" s="11"/>
      <c r="AK244" s="4">
        <v>1689</v>
      </c>
      <c r="AL244" s="14">
        <v>46003</v>
      </c>
    </row>
    <row r="245" spans="1:38" ht="43.5">
      <c r="A245" s="4" t="s">
        <v>50</v>
      </c>
      <c r="B245" s="4">
        <v>14</v>
      </c>
      <c r="C245" s="4">
        <v>20</v>
      </c>
      <c r="D245" s="6" t="s">
        <v>592</v>
      </c>
      <c r="E245" s="4" t="s">
        <v>10</v>
      </c>
      <c r="F245" s="4" t="str" cm="1">
        <f t="array" ref="F245">_xlfn.IFS(
  E245="Mahuva", "Mahuva",
  E245="Jesar", "Mahuva",
  E245="Palitana", "Palitana",
  E245="Gariyadhar", "Palitana",
  E245="Talaja", "Talaja",
  E245="Vallabhipur", "Vallabhipur",
  E245="Umrala", "Vallabhipur",
  E245="Shihor", "Shihor",
  E245="Ghogha", "Bhavnagar",
  E245="Bhavnagar", "Bhavnagar"
)</f>
        <v>Mahuva</v>
      </c>
      <c r="G245" s="4" t="s">
        <v>206</v>
      </c>
      <c r="H245" s="4">
        <v>211802</v>
      </c>
      <c r="I245" s="4"/>
      <c r="J245" s="5">
        <v>45872</v>
      </c>
      <c r="K245" s="5">
        <v>45880</v>
      </c>
      <c r="L245" s="5">
        <v>45881</v>
      </c>
      <c r="M245" s="7">
        <v>2079935.08</v>
      </c>
      <c r="N245" s="7">
        <v>2017537.03</v>
      </c>
      <c r="O245" s="8">
        <v>-3</v>
      </c>
      <c r="P245" s="8" t="str">
        <f>IF(O245&lt;0,"Below",IF(O245&gt;0,"Above","Equals"))</f>
        <v>Below</v>
      </c>
      <c r="Q245" s="4" t="s">
        <v>564</v>
      </c>
      <c r="R245" s="5"/>
      <c r="S245" s="6"/>
      <c r="U245" s="12">
        <v>4</v>
      </c>
      <c r="V245" s="4">
        <v>1360</v>
      </c>
      <c r="W245" s="14">
        <v>45922</v>
      </c>
      <c r="X245" s="4" t="s">
        <v>50</v>
      </c>
      <c r="Y245" s="13">
        <v>177</v>
      </c>
      <c r="Z245" s="26">
        <v>45943</v>
      </c>
      <c r="AA245" s="4" t="s">
        <v>299</v>
      </c>
      <c r="AB245" s="4" t="s">
        <v>712</v>
      </c>
      <c r="AC245" s="33" t="s">
        <v>718</v>
      </c>
      <c r="AD245" s="9">
        <v>101000</v>
      </c>
      <c r="AE245" s="5">
        <v>45937</v>
      </c>
      <c r="AF245" s="11"/>
      <c r="AG245" s="11"/>
      <c r="AI245" s="9"/>
      <c r="AJ245" s="11"/>
      <c r="AK245" s="4">
        <v>1461</v>
      </c>
      <c r="AL245" s="14">
        <v>45943</v>
      </c>
    </row>
    <row r="246" spans="1:38" ht="43.5">
      <c r="A246" s="4" t="s">
        <v>50</v>
      </c>
      <c r="B246" s="4">
        <v>14</v>
      </c>
      <c r="C246" s="4">
        <v>21</v>
      </c>
      <c r="D246" s="6" t="s">
        <v>593</v>
      </c>
      <c r="E246" s="4" t="s">
        <v>10</v>
      </c>
      <c r="F246" s="4" t="str" cm="1">
        <f t="array" ref="F246">_xlfn.IFS(
  E246="Mahuva", "Mahuva",
  E246="Jesar", "Mahuva",
  E246="Palitana", "Palitana",
  E246="Gariyadhar", "Palitana",
  E246="Talaja", "Talaja",
  E246="Vallabhipur", "Vallabhipur",
  E246="Umrala", "Vallabhipur",
  E246="Shihor", "Shihor",
  E246="Ghogha", "Bhavnagar",
  E246="Bhavnagar", "Bhavnagar"
)</f>
        <v>Mahuva</v>
      </c>
      <c r="G246" s="4" t="s">
        <v>206</v>
      </c>
      <c r="H246" s="4">
        <v>211803</v>
      </c>
      <c r="I246" s="4"/>
      <c r="J246" s="5">
        <v>45872</v>
      </c>
      <c r="K246" s="5">
        <v>45880</v>
      </c>
      <c r="L246" s="5">
        <v>45881</v>
      </c>
      <c r="M246" s="7">
        <v>2079935.08</v>
      </c>
      <c r="N246" s="7">
        <v>1928723.8</v>
      </c>
      <c r="O246" s="8">
        <v>-7.27</v>
      </c>
      <c r="P246" s="8" t="str">
        <f>IF(O246&lt;0,"Below",IF(O246&gt;0,"Above","Equals"))</f>
        <v>Below</v>
      </c>
      <c r="Q246" s="4" t="s">
        <v>565</v>
      </c>
      <c r="R246" s="5"/>
      <c r="S246" s="6"/>
      <c r="U246" s="12">
        <v>4</v>
      </c>
      <c r="V246" s="4">
        <v>1321</v>
      </c>
      <c r="W246" s="14">
        <v>45915</v>
      </c>
      <c r="X246" s="4" t="s">
        <v>50</v>
      </c>
      <c r="Y246" s="13">
        <v>226</v>
      </c>
      <c r="Z246" s="26">
        <v>46003</v>
      </c>
      <c r="AA246" s="4" t="s">
        <v>299</v>
      </c>
      <c r="AB246" s="4" t="s">
        <v>541</v>
      </c>
      <c r="AC246" s="33" t="s">
        <v>813</v>
      </c>
      <c r="AD246" s="9">
        <v>97000</v>
      </c>
      <c r="AE246" s="5">
        <v>45934</v>
      </c>
      <c r="AF246" s="11"/>
      <c r="AG246" s="11"/>
      <c r="AI246" s="9"/>
      <c r="AJ246" s="11"/>
      <c r="AK246" s="4">
        <v>1690</v>
      </c>
      <c r="AL246" s="14">
        <v>46003</v>
      </c>
    </row>
    <row r="247" spans="1:38" ht="43.5">
      <c r="A247" s="4" t="s">
        <v>50</v>
      </c>
      <c r="B247" s="4">
        <v>14</v>
      </c>
      <c r="C247" s="4">
        <v>22</v>
      </c>
      <c r="D247" s="6" t="s">
        <v>655</v>
      </c>
      <c r="E247" s="4" t="s">
        <v>10</v>
      </c>
      <c r="F247" s="4" t="str" cm="1">
        <f t="array" ref="F247">_xlfn.IFS(
  E247="Mahuva", "Mahuva",
  E247="Jesar", "Mahuva",
  E247="Palitana", "Palitana",
  E247="Gariyadhar", "Palitana",
  E247="Talaja", "Talaja",
  E247="Vallabhipur", "Vallabhipur",
  E247="Umrala", "Vallabhipur",
  E247="Shihor", "Shihor",
  E247="Ghogha", "Bhavnagar",
  E247="Bhavnagar", "Bhavnagar"
)</f>
        <v>Mahuva</v>
      </c>
      <c r="G247" s="4" t="s">
        <v>206</v>
      </c>
      <c r="H247" s="4">
        <v>211804</v>
      </c>
      <c r="I247" s="4"/>
      <c r="J247" s="5">
        <v>45872</v>
      </c>
      <c r="K247" s="5">
        <v>45880</v>
      </c>
      <c r="L247" s="5">
        <v>45881</v>
      </c>
      <c r="M247" s="7">
        <v>2079935.08</v>
      </c>
      <c r="N247" s="7">
        <v>1928723.8</v>
      </c>
      <c r="O247" s="8">
        <v>-7.27</v>
      </c>
      <c r="P247" s="8" t="str">
        <f>IF(O247&lt;0,"Below",IF(O247&gt;0,"Above","Equals"))</f>
        <v>Below</v>
      </c>
      <c r="Q247" s="4" t="s">
        <v>565</v>
      </c>
      <c r="R247" s="5"/>
      <c r="S247" s="6"/>
      <c r="U247" s="12">
        <v>4</v>
      </c>
      <c r="V247" s="4">
        <v>1320</v>
      </c>
      <c r="W247" s="14">
        <v>45915</v>
      </c>
      <c r="X247" s="4" t="s">
        <v>50</v>
      </c>
      <c r="Y247" s="13">
        <v>227</v>
      </c>
      <c r="Z247" s="26">
        <v>46003</v>
      </c>
      <c r="AA247" s="4" t="s">
        <v>299</v>
      </c>
      <c r="AB247" s="4" t="s">
        <v>541</v>
      </c>
      <c r="AC247" s="33" t="s">
        <v>814</v>
      </c>
      <c r="AD247" s="9">
        <v>97000</v>
      </c>
      <c r="AE247" s="5">
        <v>45934</v>
      </c>
      <c r="AF247" s="11"/>
      <c r="AG247" s="11"/>
      <c r="AI247" s="9"/>
      <c r="AJ247" s="11"/>
      <c r="AK247" s="4">
        <v>1691</v>
      </c>
      <c r="AL247" s="14">
        <v>46003</v>
      </c>
    </row>
    <row r="248" spans="1:38" ht="43.5">
      <c r="A248" s="4" t="s">
        <v>50</v>
      </c>
      <c r="B248" s="4">
        <v>14</v>
      </c>
      <c r="C248" s="4">
        <v>23</v>
      </c>
      <c r="D248" s="6" t="s">
        <v>594</v>
      </c>
      <c r="E248" s="4" t="s">
        <v>10</v>
      </c>
      <c r="F248" s="4" t="str" cm="1">
        <f t="array" ref="F248">_xlfn.IFS(
  E248="Mahuva", "Mahuva",
  E248="Jesar", "Mahuva",
  E248="Palitana", "Palitana",
  E248="Gariyadhar", "Palitana",
  E248="Talaja", "Talaja",
  E248="Vallabhipur", "Vallabhipur",
  E248="Umrala", "Vallabhipur",
  E248="Shihor", "Shihor",
  E248="Ghogha", "Bhavnagar",
  E248="Bhavnagar", "Bhavnagar"
)</f>
        <v>Mahuva</v>
      </c>
      <c r="G248" s="4" t="s">
        <v>206</v>
      </c>
      <c r="H248" s="4">
        <v>211805</v>
      </c>
      <c r="I248" s="4"/>
      <c r="J248" s="5">
        <v>45872</v>
      </c>
      <c r="K248" s="5">
        <v>45880</v>
      </c>
      <c r="L248" s="5">
        <v>45881</v>
      </c>
      <c r="M248" s="7">
        <v>2079935.08</v>
      </c>
      <c r="N248" s="7">
        <v>1928723.8</v>
      </c>
      <c r="O248" s="8">
        <v>-7.27</v>
      </c>
      <c r="P248" s="8" t="str">
        <f>IF(O248&lt;0,"Below",IF(O248&gt;0,"Above","Equals"))</f>
        <v>Below</v>
      </c>
      <c r="Q248" s="4" t="s">
        <v>565</v>
      </c>
      <c r="R248" s="5"/>
      <c r="S248" s="6"/>
      <c r="U248" s="12">
        <v>4</v>
      </c>
      <c r="V248" s="4">
        <v>1325</v>
      </c>
      <c r="W248" s="14">
        <v>45915</v>
      </c>
      <c r="X248" s="4" t="s">
        <v>50</v>
      </c>
      <c r="Y248" s="13">
        <v>228</v>
      </c>
      <c r="Z248" s="26">
        <v>46003</v>
      </c>
      <c r="AA248" s="4" t="s">
        <v>299</v>
      </c>
      <c r="AB248" s="4" t="s">
        <v>541</v>
      </c>
      <c r="AC248" s="33" t="s">
        <v>815</v>
      </c>
      <c r="AD248" s="9">
        <v>97000</v>
      </c>
      <c r="AE248" s="5">
        <v>45934</v>
      </c>
      <c r="AF248" s="11"/>
      <c r="AG248" s="11"/>
      <c r="AI248" s="9"/>
      <c r="AJ248" s="11"/>
      <c r="AK248" s="4">
        <v>1692</v>
      </c>
      <c r="AL248" s="14">
        <v>46003</v>
      </c>
    </row>
    <row r="249" spans="1:38" ht="43.5">
      <c r="A249" s="4" t="s">
        <v>50</v>
      </c>
      <c r="B249" s="4">
        <v>14</v>
      </c>
      <c r="C249" s="4">
        <v>24</v>
      </c>
      <c r="D249" s="6" t="s">
        <v>595</v>
      </c>
      <c r="E249" s="4" t="s">
        <v>10</v>
      </c>
      <c r="F249" s="4" t="str" cm="1">
        <f t="array" ref="F249">_xlfn.IFS(
  E249="Mahuva", "Mahuva",
  E249="Jesar", "Mahuva",
  E249="Palitana", "Palitana",
  E249="Gariyadhar", "Palitana",
  E249="Talaja", "Talaja",
  E249="Vallabhipur", "Vallabhipur",
  E249="Umrala", "Vallabhipur",
  E249="Shihor", "Shihor",
  E249="Ghogha", "Bhavnagar",
  E249="Bhavnagar", "Bhavnagar"
)</f>
        <v>Mahuva</v>
      </c>
      <c r="G249" s="4" t="s">
        <v>206</v>
      </c>
      <c r="H249" s="4">
        <v>211806</v>
      </c>
      <c r="I249" s="4"/>
      <c r="J249" s="5">
        <v>45872</v>
      </c>
      <c r="K249" s="5">
        <v>45880</v>
      </c>
      <c r="L249" s="5">
        <v>45881</v>
      </c>
      <c r="M249" s="7">
        <v>2079935.08</v>
      </c>
      <c r="N249" s="7">
        <v>2038336.38</v>
      </c>
      <c r="O249" s="8">
        <v>-2</v>
      </c>
      <c r="P249" s="8" t="str">
        <f>IF(O249&lt;0,"Below",IF(O249&gt;0,"Above","Equals"))</f>
        <v>Below</v>
      </c>
      <c r="Q249" s="4" t="s">
        <v>564</v>
      </c>
      <c r="R249" s="5"/>
      <c r="S249" s="6"/>
      <c r="U249" s="12">
        <v>4</v>
      </c>
      <c r="V249" s="4">
        <v>1366</v>
      </c>
      <c r="W249" s="14">
        <v>45922</v>
      </c>
      <c r="X249" s="4" t="s">
        <v>50</v>
      </c>
      <c r="Y249" s="13">
        <v>173</v>
      </c>
      <c r="Z249" s="26">
        <v>45943</v>
      </c>
      <c r="AA249" s="4" t="s">
        <v>299</v>
      </c>
      <c r="AB249" s="4" t="s">
        <v>712</v>
      </c>
      <c r="AC249" s="33" t="s">
        <v>714</v>
      </c>
      <c r="AD249" s="9">
        <v>102000</v>
      </c>
      <c r="AE249" s="5">
        <v>45937</v>
      </c>
      <c r="AF249" s="11"/>
      <c r="AG249" s="11"/>
      <c r="AI249" s="9"/>
      <c r="AJ249" s="11"/>
      <c r="AK249" s="4">
        <v>1462</v>
      </c>
      <c r="AL249" s="14">
        <v>45943</v>
      </c>
    </row>
    <row r="250" spans="1:38" ht="43.5">
      <c r="A250" s="4" t="s">
        <v>50</v>
      </c>
      <c r="B250" s="4">
        <v>14</v>
      </c>
      <c r="C250" s="4">
        <v>25</v>
      </c>
      <c r="D250" s="6" t="s">
        <v>596</v>
      </c>
      <c r="E250" s="4" t="s">
        <v>10</v>
      </c>
      <c r="F250" s="4" t="str" cm="1">
        <f t="array" ref="F250">_xlfn.IFS(
  E250="Mahuva", "Mahuva",
  E250="Jesar", "Mahuva",
  E250="Palitana", "Palitana",
  E250="Gariyadhar", "Palitana",
  E250="Talaja", "Talaja",
  E250="Vallabhipur", "Vallabhipur",
  E250="Umrala", "Vallabhipur",
  E250="Shihor", "Shihor",
  E250="Ghogha", "Bhavnagar",
  E250="Bhavnagar", "Bhavnagar"
)</f>
        <v>Mahuva</v>
      </c>
      <c r="G250" s="4" t="s">
        <v>206</v>
      </c>
      <c r="H250" s="4">
        <v>211820</v>
      </c>
      <c r="I250" s="4"/>
      <c r="J250" s="5">
        <v>45872</v>
      </c>
      <c r="K250" s="5">
        <v>45880</v>
      </c>
      <c r="L250" s="5">
        <v>45881</v>
      </c>
      <c r="M250" s="7">
        <v>2079935.08</v>
      </c>
      <c r="N250" s="7">
        <v>1928723.8</v>
      </c>
      <c r="O250" s="8">
        <v>-7.27</v>
      </c>
      <c r="P250" s="8" t="str">
        <f>IF(O250&lt;0,"Below",IF(O250&gt;0,"Above","Equals"))</f>
        <v>Below</v>
      </c>
      <c r="Q250" s="4" t="s">
        <v>565</v>
      </c>
      <c r="R250" s="5"/>
      <c r="S250" s="6"/>
      <c r="U250" s="12">
        <v>4</v>
      </c>
      <c r="V250" s="4">
        <v>1326</v>
      </c>
      <c r="W250" s="14">
        <v>45915</v>
      </c>
      <c r="X250" s="4" t="s">
        <v>50</v>
      </c>
      <c r="Y250" s="13">
        <v>229</v>
      </c>
      <c r="Z250" s="26">
        <v>46003</v>
      </c>
      <c r="AA250" s="4" t="s">
        <v>299</v>
      </c>
      <c r="AB250" s="4" t="s">
        <v>541</v>
      </c>
      <c r="AC250" s="33" t="s">
        <v>816</v>
      </c>
      <c r="AD250" s="9">
        <v>97000</v>
      </c>
      <c r="AE250" s="5">
        <v>45934</v>
      </c>
      <c r="AF250" s="11"/>
      <c r="AG250" s="11"/>
      <c r="AI250" s="9"/>
      <c r="AJ250" s="11"/>
      <c r="AK250" s="4">
        <v>1693</v>
      </c>
      <c r="AL250" s="14">
        <v>46003</v>
      </c>
    </row>
    <row r="251" spans="1:38" ht="43.5">
      <c r="A251" s="4" t="s">
        <v>50</v>
      </c>
      <c r="B251" s="4">
        <v>14</v>
      </c>
      <c r="C251" s="4">
        <v>26</v>
      </c>
      <c r="D251" s="6" t="s">
        <v>597</v>
      </c>
      <c r="E251" s="4" t="s">
        <v>10</v>
      </c>
      <c r="F251" s="4" t="str" cm="1">
        <f t="array" ref="F251">_xlfn.IFS(
  E251="Mahuva", "Mahuva",
  E251="Jesar", "Mahuva",
  E251="Palitana", "Palitana",
  E251="Gariyadhar", "Palitana",
  E251="Talaja", "Talaja",
  E251="Vallabhipur", "Vallabhipur",
  E251="Umrala", "Vallabhipur",
  E251="Shihor", "Shihor",
  E251="Ghogha", "Bhavnagar",
  E251="Bhavnagar", "Bhavnagar"
)</f>
        <v>Mahuva</v>
      </c>
      <c r="G251" s="4" t="s">
        <v>206</v>
      </c>
      <c r="H251" s="4">
        <v>211821</v>
      </c>
      <c r="I251" s="4"/>
      <c r="J251" s="5">
        <v>45872</v>
      </c>
      <c r="K251" s="5">
        <v>45880</v>
      </c>
      <c r="L251" s="5">
        <v>45881</v>
      </c>
      <c r="M251" s="7">
        <v>2079935.08</v>
      </c>
      <c r="N251" s="7">
        <v>1955138.98</v>
      </c>
      <c r="O251" s="8">
        <v>-6</v>
      </c>
      <c r="P251" s="8" t="str">
        <f>IF(O251&lt;0,"Below",IF(O251&gt;0,"Above","Equals"))</f>
        <v>Below</v>
      </c>
      <c r="Q251" s="4" t="s">
        <v>564</v>
      </c>
      <c r="R251" s="5"/>
      <c r="S251" s="6"/>
      <c r="U251" s="12">
        <v>4</v>
      </c>
      <c r="V251" s="4">
        <v>1371</v>
      </c>
      <c r="W251" s="14">
        <v>45922</v>
      </c>
      <c r="X251" s="4" t="s">
        <v>50</v>
      </c>
      <c r="Y251" s="13">
        <v>172</v>
      </c>
      <c r="Z251" s="26">
        <v>45943</v>
      </c>
      <c r="AA251" s="4" t="s">
        <v>299</v>
      </c>
      <c r="AB251" s="4" t="s">
        <v>712</v>
      </c>
      <c r="AC251" s="33" t="s">
        <v>713</v>
      </c>
      <c r="AD251" s="9">
        <v>98000</v>
      </c>
      <c r="AE251" s="5">
        <v>45937</v>
      </c>
      <c r="AF251" s="11"/>
      <c r="AG251" s="11"/>
      <c r="AI251" s="9"/>
      <c r="AJ251" s="11"/>
      <c r="AK251" s="4">
        <v>1456</v>
      </c>
      <c r="AL251" s="14">
        <v>45943</v>
      </c>
    </row>
    <row r="252" spans="1:38" ht="43.5">
      <c r="A252" s="4" t="s">
        <v>50</v>
      </c>
      <c r="B252" s="4">
        <v>14</v>
      </c>
      <c r="C252" s="4">
        <v>27</v>
      </c>
      <c r="D252" s="6" t="s">
        <v>598</v>
      </c>
      <c r="E252" s="4" t="s">
        <v>10</v>
      </c>
      <c r="F252" s="4" t="str" cm="1">
        <f t="array" ref="F252">_xlfn.IFS(
  E252="Mahuva", "Mahuva",
  E252="Jesar", "Mahuva",
  E252="Palitana", "Palitana",
  E252="Gariyadhar", "Palitana",
  E252="Talaja", "Talaja",
  E252="Vallabhipur", "Vallabhipur",
  E252="Umrala", "Vallabhipur",
  E252="Shihor", "Shihor",
  E252="Ghogha", "Bhavnagar",
  E252="Bhavnagar", "Bhavnagar"
)</f>
        <v>Mahuva</v>
      </c>
      <c r="G252" s="4" t="s">
        <v>206</v>
      </c>
      <c r="H252" s="4">
        <v>211822</v>
      </c>
      <c r="I252" s="4"/>
      <c r="J252" s="5">
        <v>45872</v>
      </c>
      <c r="K252" s="5">
        <v>45880</v>
      </c>
      <c r="L252" s="5">
        <v>45881</v>
      </c>
      <c r="M252" s="7">
        <v>2079935.08</v>
      </c>
      <c r="N252" s="7">
        <v>1975938.33</v>
      </c>
      <c r="O252" s="8">
        <v>-5</v>
      </c>
      <c r="P252" s="8" t="str">
        <f>IF(O252&lt;0,"Below",IF(O252&gt;0,"Above","Equals"))</f>
        <v>Below</v>
      </c>
      <c r="Q252" s="4" t="s">
        <v>564</v>
      </c>
      <c r="R252" s="5"/>
      <c r="S252" s="6"/>
      <c r="U252" s="12">
        <v>4</v>
      </c>
      <c r="V252" s="4">
        <v>1372</v>
      </c>
      <c r="W252" s="14">
        <v>45915</v>
      </c>
      <c r="X252" s="4" t="s">
        <v>50</v>
      </c>
      <c r="Y252" s="13">
        <v>175</v>
      </c>
      <c r="Z252" s="26">
        <v>45943</v>
      </c>
      <c r="AA252" s="4" t="s">
        <v>299</v>
      </c>
      <c r="AB252" s="4" t="s">
        <v>712</v>
      </c>
      <c r="AC252" s="33" t="s">
        <v>716</v>
      </c>
      <c r="AD252" s="9">
        <v>99000</v>
      </c>
      <c r="AE252" s="5">
        <v>45937</v>
      </c>
      <c r="AF252" s="11"/>
      <c r="AG252" s="11"/>
      <c r="AI252" s="9"/>
      <c r="AJ252" s="11"/>
      <c r="AK252" s="4">
        <v>1463</v>
      </c>
      <c r="AL252" s="14">
        <v>45943</v>
      </c>
    </row>
    <row r="253" spans="1:38" ht="43.5">
      <c r="A253" s="4" t="s">
        <v>50</v>
      </c>
      <c r="B253" s="4">
        <v>14</v>
      </c>
      <c r="C253" s="4">
        <v>28</v>
      </c>
      <c r="D253" s="6" t="s">
        <v>599</v>
      </c>
      <c r="E253" s="4" t="s">
        <v>10</v>
      </c>
      <c r="F253" s="4" t="str" cm="1">
        <f t="array" ref="F253">_xlfn.IFS(
  E253="Mahuva", "Mahuva",
  E253="Jesar", "Mahuva",
  E253="Palitana", "Palitana",
  E253="Gariyadhar", "Palitana",
  E253="Talaja", "Talaja",
  E253="Vallabhipur", "Vallabhipur",
  E253="Umrala", "Vallabhipur",
  E253="Shihor", "Shihor",
  E253="Ghogha", "Bhavnagar",
  E253="Bhavnagar", "Bhavnagar"
)</f>
        <v>Mahuva</v>
      </c>
      <c r="G253" s="4" t="s">
        <v>206</v>
      </c>
      <c r="H253" s="4">
        <v>211823</v>
      </c>
      <c r="I253" s="4"/>
      <c r="J253" s="5">
        <v>45872</v>
      </c>
      <c r="K253" s="5">
        <v>45880</v>
      </c>
      <c r="L253" s="5">
        <v>45881</v>
      </c>
      <c r="M253" s="7">
        <v>2079935.08</v>
      </c>
      <c r="N253" s="7">
        <v>1934339.62</v>
      </c>
      <c r="O253" s="8">
        <v>-7</v>
      </c>
      <c r="P253" s="8" t="str">
        <f>IF(O253&lt;0,"Below",IF(O253&gt;0,"Above","Equals"))</f>
        <v>Below</v>
      </c>
      <c r="Q253" s="4" t="s">
        <v>564</v>
      </c>
      <c r="R253" s="5"/>
      <c r="S253" s="6"/>
      <c r="U253" s="12">
        <v>4</v>
      </c>
      <c r="V253" s="4">
        <v>1368</v>
      </c>
      <c r="W253" s="14">
        <v>45922</v>
      </c>
      <c r="X253" s="4" t="s">
        <v>50</v>
      </c>
      <c r="Y253" s="13">
        <v>174</v>
      </c>
      <c r="Z253" s="26">
        <v>45943</v>
      </c>
      <c r="AA253" s="4" t="s">
        <v>299</v>
      </c>
      <c r="AB253" s="4" t="s">
        <v>712</v>
      </c>
      <c r="AC253" s="33" t="s">
        <v>715</v>
      </c>
      <c r="AD253" s="9">
        <v>97000</v>
      </c>
      <c r="AE253" s="5">
        <v>45937</v>
      </c>
      <c r="AF253" s="11"/>
      <c r="AG253" s="11"/>
      <c r="AI253" s="9"/>
      <c r="AJ253" s="11"/>
      <c r="AK253" s="4">
        <v>1464</v>
      </c>
      <c r="AL253" s="14">
        <v>45943</v>
      </c>
    </row>
    <row r="254" spans="1:38" ht="43.5">
      <c r="A254" s="4" t="s">
        <v>50</v>
      </c>
      <c r="B254" s="4">
        <v>14</v>
      </c>
      <c r="C254" s="4">
        <v>29</v>
      </c>
      <c r="D254" s="6" t="s">
        <v>600</v>
      </c>
      <c r="E254" s="4" t="s">
        <v>10</v>
      </c>
      <c r="F254" s="4" t="str" cm="1">
        <f t="array" ref="F254">_xlfn.IFS(
  E254="Mahuva", "Mahuva",
  E254="Jesar", "Mahuva",
  E254="Palitana", "Palitana",
  E254="Gariyadhar", "Palitana",
  E254="Talaja", "Talaja",
  E254="Vallabhipur", "Vallabhipur",
  E254="Umrala", "Vallabhipur",
  E254="Shihor", "Shihor",
  E254="Ghogha", "Bhavnagar",
  E254="Bhavnagar", "Bhavnagar"
)</f>
        <v>Mahuva</v>
      </c>
      <c r="G254" s="4" t="s">
        <v>206</v>
      </c>
      <c r="H254" s="4">
        <v>211824</v>
      </c>
      <c r="I254" s="4"/>
      <c r="J254" s="5">
        <v>45872</v>
      </c>
      <c r="K254" s="5">
        <v>45880</v>
      </c>
      <c r="L254" s="5">
        <v>45881</v>
      </c>
      <c r="M254" s="7">
        <v>2079935.08</v>
      </c>
      <c r="N254" s="7">
        <v>1934339.62</v>
      </c>
      <c r="O254" s="8">
        <v>-7</v>
      </c>
      <c r="P254" s="8" t="str">
        <f>IF(O254&lt;0,"Below",IF(O254&gt;0,"Above","Equals"))</f>
        <v>Below</v>
      </c>
      <c r="Q254" s="4" t="s">
        <v>564</v>
      </c>
      <c r="R254" s="5"/>
      <c r="S254" s="6"/>
      <c r="U254" s="12">
        <v>4</v>
      </c>
      <c r="V254" s="4">
        <v>1363</v>
      </c>
      <c r="W254" s="14">
        <v>45922</v>
      </c>
      <c r="X254" s="4" t="s">
        <v>50</v>
      </c>
      <c r="Y254" s="13">
        <v>180</v>
      </c>
      <c r="Z254" s="26">
        <v>45943</v>
      </c>
      <c r="AA254" s="4" t="s">
        <v>299</v>
      </c>
      <c r="AB254" s="4" t="s">
        <v>712</v>
      </c>
      <c r="AC254" s="33" t="s">
        <v>721</v>
      </c>
      <c r="AD254" s="9">
        <v>97000</v>
      </c>
      <c r="AE254" s="5">
        <v>45937</v>
      </c>
      <c r="AF254" s="11"/>
      <c r="AG254" s="11"/>
      <c r="AI254" s="9"/>
      <c r="AJ254" s="11"/>
      <c r="AK254" s="4">
        <v>1465</v>
      </c>
      <c r="AL254" s="14">
        <v>45943</v>
      </c>
    </row>
    <row r="255" spans="1:38" ht="43.5">
      <c r="A255" s="4" t="s">
        <v>50</v>
      </c>
      <c r="B255" s="4">
        <v>14</v>
      </c>
      <c r="C255" s="4">
        <v>30</v>
      </c>
      <c r="D255" s="6" t="s">
        <v>601</v>
      </c>
      <c r="E255" s="4" t="s">
        <v>2</v>
      </c>
      <c r="F255" s="4" t="str" cm="1">
        <f t="array" ref="F255">_xlfn.IFS(
  E255="Mahuva", "Mahuva",
  E255="Jesar", "Mahuva",
  E255="Palitana", "Palitana",
  E255="Gariyadhar", "Palitana",
  E255="Talaja", "Talaja",
  E255="Vallabhipur", "Vallabhipur",
  E255="Umrala", "Vallabhipur",
  E255="Shihor", "Shihor",
  E255="Ghogha", "Bhavnagar",
  E255="Bhavnagar", "Bhavnagar"
)</f>
        <v>Palitana</v>
      </c>
      <c r="G255" s="4" t="s">
        <v>206</v>
      </c>
      <c r="H255" s="4">
        <v>211825</v>
      </c>
      <c r="I255" s="4"/>
      <c r="J255" s="5">
        <v>45872</v>
      </c>
      <c r="K255" s="5">
        <v>45880</v>
      </c>
      <c r="L255" s="5">
        <v>45881</v>
      </c>
      <c r="M255" s="7">
        <v>2079935.08</v>
      </c>
      <c r="N255" s="7">
        <v>1903140.6</v>
      </c>
      <c r="O255" s="8">
        <v>-8.5</v>
      </c>
      <c r="P255" s="8" t="str">
        <f>IF(O255&lt;0,"Below",IF(O255&gt;0,"Above","Equals"))</f>
        <v>Below</v>
      </c>
      <c r="Q255" s="4" t="s">
        <v>561</v>
      </c>
      <c r="R255" s="5"/>
      <c r="S255" s="6"/>
      <c r="U255" s="12">
        <v>4</v>
      </c>
      <c r="V255" s="4">
        <v>1358</v>
      </c>
      <c r="W255" s="14">
        <v>45922</v>
      </c>
      <c r="X255" s="4" t="s">
        <v>50</v>
      </c>
      <c r="Y255" s="13">
        <v>214</v>
      </c>
      <c r="Z255" s="26">
        <v>45979</v>
      </c>
      <c r="AA255" s="4" t="s">
        <v>299</v>
      </c>
      <c r="AB255" s="4" t="s">
        <v>712</v>
      </c>
      <c r="AC255" s="33" t="s">
        <v>762</v>
      </c>
      <c r="AD255" s="9">
        <v>96000</v>
      </c>
      <c r="AE255" s="5">
        <v>45975</v>
      </c>
      <c r="AF255" s="11"/>
      <c r="AG255" s="11"/>
      <c r="AI255" s="9"/>
      <c r="AJ255" s="11"/>
      <c r="AK255" s="4">
        <v>1545</v>
      </c>
      <c r="AL255" s="14">
        <v>45979</v>
      </c>
    </row>
    <row r="256" spans="1:38" ht="43.5">
      <c r="A256" s="4" t="s">
        <v>50</v>
      </c>
      <c r="B256" s="4">
        <v>14</v>
      </c>
      <c r="C256" s="4">
        <v>31</v>
      </c>
      <c r="D256" s="6" t="s">
        <v>602</v>
      </c>
      <c r="E256" s="4" t="s">
        <v>1</v>
      </c>
      <c r="F256" s="4" t="str" cm="1">
        <f t="array" ref="F256">_xlfn.IFS(
  E256="Mahuva", "Mahuva",
  E256="Jesar", "Mahuva",
  E256="Palitana", "Palitana",
  E256="Gariyadhar", "Palitana",
  E256="Talaja", "Talaja",
  E256="Vallabhipur", "Vallabhipur",
  E256="Umrala", "Vallabhipur",
  E256="Shihor", "Shihor",
  E256="Ghogha", "Bhavnagar",
  E256="Bhavnagar", "Bhavnagar"
)</f>
        <v>Vallabhipur</v>
      </c>
      <c r="G256" s="4" t="s">
        <v>206</v>
      </c>
      <c r="H256" s="4">
        <v>211826</v>
      </c>
      <c r="I256" s="4"/>
      <c r="J256" s="5">
        <v>45872</v>
      </c>
      <c r="K256" s="5">
        <v>45880</v>
      </c>
      <c r="L256" s="5">
        <v>45881</v>
      </c>
      <c r="M256" s="7">
        <v>2079935.08</v>
      </c>
      <c r="N256" s="7">
        <v>1902932.6</v>
      </c>
      <c r="O256" s="8">
        <v>-8.51</v>
      </c>
      <c r="P256" s="8" t="str">
        <f>IF(O256&lt;0,"Below",IF(O256&gt;0,"Above","Equals"))</f>
        <v>Below</v>
      </c>
      <c r="Q256" s="4" t="s">
        <v>248</v>
      </c>
      <c r="R256" s="5"/>
      <c r="S256" s="6"/>
      <c r="U256" s="12">
        <v>4</v>
      </c>
      <c r="V256" s="4">
        <v>1322</v>
      </c>
      <c r="W256" s="14">
        <v>45915</v>
      </c>
      <c r="X256" s="4" t="s">
        <v>50</v>
      </c>
      <c r="Y256" s="13">
        <v>260</v>
      </c>
      <c r="Z256" s="26">
        <v>46029</v>
      </c>
      <c r="AA256" s="4" t="s">
        <v>299</v>
      </c>
      <c r="AB256" s="4" t="s">
        <v>312</v>
      </c>
      <c r="AC256" s="33">
        <v>44743358475</v>
      </c>
      <c r="AD256" s="9">
        <v>96000</v>
      </c>
      <c r="AE256" s="5">
        <v>46007</v>
      </c>
      <c r="AF256" s="11"/>
      <c r="AG256" s="11"/>
      <c r="AI256" s="9"/>
      <c r="AJ256" s="11"/>
      <c r="AK256" s="4">
        <v>31</v>
      </c>
      <c r="AL256" s="14">
        <v>46029</v>
      </c>
    </row>
    <row r="257" spans="1:38" ht="43.5">
      <c r="A257" s="4" t="s">
        <v>50</v>
      </c>
      <c r="B257" s="4">
        <v>14</v>
      </c>
      <c r="C257" s="4">
        <v>32</v>
      </c>
      <c r="D257" s="6" t="s">
        <v>603</v>
      </c>
      <c r="E257" s="4" t="s">
        <v>11</v>
      </c>
      <c r="F257" s="4" t="str" cm="1">
        <f t="array" ref="F257">_xlfn.IFS(
  E257="Mahuva", "Mahuva",
  E257="Jesar", "Mahuva",
  E257="Palitana", "Palitana",
  E257="Gariyadhar", "Palitana",
  E257="Talaja", "Talaja",
  E257="Vallabhipur", "Vallabhipur",
  E257="Umrala", "Vallabhipur",
  E257="Shihor", "Shihor",
  E257="Ghogha", "Bhavnagar",
  E257="Bhavnagar", "Bhavnagar"
)</f>
        <v>Shihor</v>
      </c>
      <c r="G257" s="4" t="s">
        <v>206</v>
      </c>
      <c r="H257" s="4">
        <v>211827</v>
      </c>
      <c r="I257" s="4"/>
      <c r="J257" s="5">
        <v>45872</v>
      </c>
      <c r="K257" s="5">
        <v>45880</v>
      </c>
      <c r="L257" s="5">
        <v>45881</v>
      </c>
      <c r="M257" s="7">
        <v>2079935.08</v>
      </c>
      <c r="N257" s="7">
        <v>1955346.97</v>
      </c>
      <c r="O257" s="8">
        <v>-5.99</v>
      </c>
      <c r="P257" s="8" t="str">
        <f>IF(O257&lt;0,"Below",IF(O257&gt;0,"Above","Equals"))</f>
        <v>Below</v>
      </c>
      <c r="Q257" s="4" t="s">
        <v>127</v>
      </c>
      <c r="R257" s="5"/>
      <c r="S257" s="6"/>
      <c r="U257" s="12">
        <v>4</v>
      </c>
      <c r="V257" s="4">
        <v>1316</v>
      </c>
      <c r="W257" s="14">
        <v>45915</v>
      </c>
      <c r="X257" s="4" t="s">
        <v>50</v>
      </c>
      <c r="Y257" s="13">
        <v>253</v>
      </c>
      <c r="Z257" s="26">
        <v>46014</v>
      </c>
      <c r="AA257" s="4" t="s">
        <v>299</v>
      </c>
      <c r="AB257" s="4" t="s">
        <v>647</v>
      </c>
      <c r="AC257" s="33" t="s">
        <v>839</v>
      </c>
      <c r="AD257" s="9">
        <v>98000</v>
      </c>
      <c r="AE257" s="5">
        <v>46009</v>
      </c>
      <c r="AF257" s="11"/>
      <c r="AG257" s="11"/>
      <c r="AI257" s="9"/>
      <c r="AJ257" s="11"/>
      <c r="AK257" s="4">
        <v>1798</v>
      </c>
      <c r="AL257" s="14">
        <v>46014</v>
      </c>
    </row>
    <row r="258" spans="1:38" ht="43.5">
      <c r="A258" s="4" t="s">
        <v>50</v>
      </c>
      <c r="B258" s="4">
        <v>14</v>
      </c>
      <c r="C258" s="4">
        <v>33</v>
      </c>
      <c r="D258" s="6" t="s">
        <v>604</v>
      </c>
      <c r="E258" s="4" t="s">
        <v>11</v>
      </c>
      <c r="F258" s="4" t="str" cm="1">
        <f t="array" ref="F258">_xlfn.IFS(
  E258="Mahuva", "Mahuva",
  E258="Jesar", "Mahuva",
  E258="Palitana", "Palitana",
  E258="Gariyadhar", "Palitana",
  E258="Talaja", "Talaja",
  E258="Vallabhipur", "Vallabhipur",
  E258="Umrala", "Vallabhipur",
  E258="Shihor", "Shihor",
  E258="Ghogha", "Bhavnagar",
  E258="Bhavnagar", "Bhavnagar"
)</f>
        <v>Shihor</v>
      </c>
      <c r="G258" s="4" t="s">
        <v>206</v>
      </c>
      <c r="H258" s="4">
        <v>211828</v>
      </c>
      <c r="I258" s="4"/>
      <c r="J258" s="5">
        <v>45872</v>
      </c>
      <c r="K258" s="5">
        <v>45880</v>
      </c>
      <c r="L258" s="5">
        <v>45881</v>
      </c>
      <c r="M258" s="7">
        <v>2079935.08</v>
      </c>
      <c r="O258" s="8"/>
      <c r="P258" s="8" t="str">
        <f>IF(O258&lt;0,"Below",IF(O258&gt;0,"Above","Equals"))</f>
        <v>Equals</v>
      </c>
      <c r="R258" s="5"/>
      <c r="S258" s="6"/>
      <c r="U258" s="12"/>
      <c r="V258" s="4"/>
      <c r="X258" s="4"/>
      <c r="Y258" s="13"/>
      <c r="Z258" s="13"/>
      <c r="AA258" s="4"/>
      <c r="AB258" s="4"/>
      <c r="AD258" s="9"/>
      <c r="AE258" s="5"/>
      <c r="AF258" s="11"/>
      <c r="AG258" s="11"/>
      <c r="AI258" s="9"/>
      <c r="AJ258" s="11"/>
      <c r="AK258" s="4"/>
    </row>
    <row r="259" spans="1:38" ht="43.5">
      <c r="A259" s="4" t="s">
        <v>50</v>
      </c>
      <c r="B259" s="4">
        <v>14</v>
      </c>
      <c r="C259" s="4">
        <v>34</v>
      </c>
      <c r="D259" s="6" t="s">
        <v>605</v>
      </c>
      <c r="E259" s="4" t="s">
        <v>11</v>
      </c>
      <c r="F259" s="4" t="str" cm="1">
        <f t="array" ref="F259">_xlfn.IFS(
  E259="Mahuva", "Mahuva",
  E259="Jesar", "Mahuva",
  E259="Palitana", "Palitana",
  E259="Gariyadhar", "Palitana",
  E259="Talaja", "Talaja",
  E259="Vallabhipur", "Vallabhipur",
  E259="Umrala", "Vallabhipur",
  E259="Shihor", "Shihor",
  E259="Ghogha", "Bhavnagar",
  E259="Bhavnagar", "Bhavnagar"
)</f>
        <v>Shihor</v>
      </c>
      <c r="G259" s="4" t="s">
        <v>206</v>
      </c>
      <c r="H259" s="4">
        <v>211829</v>
      </c>
      <c r="I259" s="4"/>
      <c r="J259" s="5">
        <v>45872</v>
      </c>
      <c r="K259" s="5">
        <v>45880</v>
      </c>
      <c r="L259" s="5">
        <v>45881</v>
      </c>
      <c r="M259" s="7">
        <v>2079935.08</v>
      </c>
      <c r="N259" s="7">
        <v>1953683.02</v>
      </c>
      <c r="O259" s="8">
        <v>-6.07</v>
      </c>
      <c r="P259" s="8" t="str">
        <f>IF(O259&lt;0,"Below",IF(O259&gt;0,"Above","Equals"))</f>
        <v>Below</v>
      </c>
      <c r="Q259" s="4" t="s">
        <v>338</v>
      </c>
      <c r="R259" s="5"/>
      <c r="S259" s="6"/>
      <c r="U259" s="12">
        <v>4</v>
      </c>
      <c r="V259" s="4">
        <v>1312</v>
      </c>
      <c r="W259" s="14">
        <v>45915</v>
      </c>
      <c r="X259" s="4" t="s">
        <v>1126</v>
      </c>
      <c r="Y259" s="13">
        <v>14</v>
      </c>
      <c r="Z259" s="26">
        <v>46141</v>
      </c>
      <c r="AA259" s="4" t="s">
        <v>299</v>
      </c>
      <c r="AB259" s="4" t="s">
        <v>312</v>
      </c>
      <c r="AC259" s="33" t="s">
        <v>1161</v>
      </c>
      <c r="AD259" s="9">
        <v>98000</v>
      </c>
      <c r="AE259" s="5">
        <v>46136</v>
      </c>
      <c r="AF259" s="11"/>
      <c r="AG259" s="11"/>
      <c r="AI259" s="9"/>
      <c r="AJ259" s="11"/>
      <c r="AK259" s="4">
        <v>539</v>
      </c>
      <c r="AL259" s="14">
        <v>46141</v>
      </c>
    </row>
    <row r="260" spans="1:38" ht="43.5">
      <c r="A260" s="4" t="s">
        <v>50</v>
      </c>
      <c r="B260" s="4">
        <v>14</v>
      </c>
      <c r="C260" s="4">
        <v>35</v>
      </c>
      <c r="D260" s="6" t="s">
        <v>606</v>
      </c>
      <c r="E260" s="4" t="s">
        <v>11</v>
      </c>
      <c r="F260" s="4" t="str" cm="1">
        <f t="array" ref="F260">_xlfn.IFS(
  E260="Mahuva", "Mahuva",
  E260="Jesar", "Mahuva",
  E260="Palitana", "Palitana",
  E260="Gariyadhar", "Palitana",
  E260="Talaja", "Talaja",
  E260="Vallabhipur", "Vallabhipur",
  E260="Umrala", "Vallabhipur",
  E260="Shihor", "Shihor",
  E260="Ghogha", "Bhavnagar",
  E260="Bhavnagar", "Bhavnagar"
)</f>
        <v>Shihor</v>
      </c>
      <c r="G260" s="4" t="s">
        <v>206</v>
      </c>
      <c r="H260" s="4">
        <v>211830</v>
      </c>
      <c r="I260" s="4"/>
      <c r="J260" s="5">
        <v>45872</v>
      </c>
      <c r="K260" s="5">
        <v>45880</v>
      </c>
      <c r="L260" s="5">
        <v>45881</v>
      </c>
      <c r="M260" s="7">
        <v>2079935.08</v>
      </c>
      <c r="N260" s="7">
        <v>1953683.02</v>
      </c>
      <c r="O260" s="8">
        <v>-6.07</v>
      </c>
      <c r="P260" s="8" t="str">
        <f>IF(O260&lt;0,"Below",IF(O260&gt;0,"Above","Equals"))</f>
        <v>Below</v>
      </c>
      <c r="Q260" s="4" t="s">
        <v>338</v>
      </c>
      <c r="R260" s="5"/>
      <c r="S260" s="6"/>
      <c r="U260" s="12">
        <v>4</v>
      </c>
      <c r="V260" s="4">
        <v>1323</v>
      </c>
      <c r="W260" s="14">
        <v>45915</v>
      </c>
      <c r="X260" s="4"/>
      <c r="Y260" s="13"/>
      <c r="Z260" s="13"/>
      <c r="AA260" s="4"/>
      <c r="AB260" s="4"/>
      <c r="AD260" s="9"/>
      <c r="AE260" s="5"/>
      <c r="AF260" s="11"/>
      <c r="AG260" s="11"/>
      <c r="AI260" s="9"/>
      <c r="AJ260" s="11"/>
      <c r="AK260" s="4"/>
    </row>
    <row r="261" spans="1:38" ht="43.5">
      <c r="A261" s="4" t="s">
        <v>50</v>
      </c>
      <c r="B261" s="4">
        <v>14</v>
      </c>
      <c r="C261" s="4">
        <v>36</v>
      </c>
      <c r="D261" s="6" t="s">
        <v>607</v>
      </c>
      <c r="E261" s="4" t="s">
        <v>11</v>
      </c>
      <c r="F261" s="4" t="str" cm="1">
        <f t="array" ref="F261">_xlfn.IFS(
  E261="Mahuva", "Mahuva",
  E261="Jesar", "Mahuva",
  E261="Palitana", "Palitana",
  E261="Gariyadhar", "Palitana",
  E261="Talaja", "Talaja",
  E261="Vallabhipur", "Vallabhipur",
  E261="Umrala", "Vallabhipur",
  E261="Shihor", "Shihor",
  E261="Ghogha", "Bhavnagar",
  E261="Bhavnagar", "Bhavnagar"
)</f>
        <v>Shihor</v>
      </c>
      <c r="G261" s="4" t="s">
        <v>206</v>
      </c>
      <c r="H261" s="4">
        <v>211831</v>
      </c>
      <c r="I261" s="4"/>
      <c r="J261" s="5">
        <v>45872</v>
      </c>
      <c r="K261" s="5">
        <v>45880</v>
      </c>
      <c r="L261" s="5">
        <v>45881</v>
      </c>
      <c r="M261" s="7">
        <v>2079935.08</v>
      </c>
      <c r="N261" s="7">
        <v>1985714.02</v>
      </c>
      <c r="O261" s="8">
        <v>-4.53</v>
      </c>
      <c r="P261" s="8" t="str">
        <f>IF(O261&lt;0,"Below",IF(O261&gt;0,"Above","Equals"))</f>
        <v>Below</v>
      </c>
      <c r="Q261" s="4" t="s">
        <v>346</v>
      </c>
      <c r="R261" s="5"/>
      <c r="S261" s="6"/>
      <c r="U261" s="12">
        <v>4</v>
      </c>
      <c r="V261" s="4">
        <v>1317</v>
      </c>
      <c r="W261" s="14">
        <v>45915</v>
      </c>
      <c r="X261" s="4" t="s">
        <v>50</v>
      </c>
      <c r="Y261" s="13">
        <v>201</v>
      </c>
      <c r="Z261" s="26">
        <v>45969</v>
      </c>
      <c r="AA261" s="4" t="s">
        <v>299</v>
      </c>
      <c r="AB261" s="4" t="s">
        <v>541</v>
      </c>
      <c r="AC261" s="33" t="s">
        <v>737</v>
      </c>
      <c r="AD261" s="9">
        <v>100000</v>
      </c>
      <c r="AE261" s="5">
        <v>45891</v>
      </c>
      <c r="AF261" s="11"/>
      <c r="AG261" s="11"/>
      <c r="AI261" s="9"/>
      <c r="AJ261" s="11"/>
      <c r="AK261" s="4">
        <v>1506</v>
      </c>
      <c r="AL261" s="14">
        <v>45969</v>
      </c>
    </row>
    <row r="262" spans="1:38" ht="43.5">
      <c r="A262" s="4" t="s">
        <v>50</v>
      </c>
      <c r="B262" s="4">
        <v>14</v>
      </c>
      <c r="C262" s="4">
        <v>37</v>
      </c>
      <c r="D262" s="6" t="s">
        <v>654</v>
      </c>
      <c r="E262" s="4" t="s">
        <v>11</v>
      </c>
      <c r="F262" s="4" t="str" cm="1">
        <f t="array" ref="F262">_xlfn.IFS(
  E262="Mahuva", "Mahuva",
  E262="Jesar", "Mahuva",
  E262="Palitana", "Palitana",
  E262="Gariyadhar", "Palitana",
  E262="Talaja", "Talaja",
  E262="Vallabhipur", "Vallabhipur",
  E262="Umrala", "Vallabhipur",
  E262="Shihor", "Shihor",
  E262="Ghogha", "Bhavnagar",
  E262="Bhavnagar", "Bhavnagar"
)</f>
        <v>Shihor</v>
      </c>
      <c r="G262" s="4" t="s">
        <v>206</v>
      </c>
      <c r="H262" s="4">
        <v>211832</v>
      </c>
      <c r="I262" s="4"/>
      <c r="J262" s="5">
        <v>45872</v>
      </c>
      <c r="K262" s="5">
        <v>45880</v>
      </c>
      <c r="L262" s="5">
        <v>45881</v>
      </c>
      <c r="M262" s="7">
        <v>2079935.08</v>
      </c>
      <c r="N262" s="7">
        <v>1933091.66</v>
      </c>
      <c r="O262" s="8">
        <v>-7.06</v>
      </c>
      <c r="P262" s="8" t="str">
        <f>IF(O262&lt;0,"Below",IF(O262&gt;0,"Above","Equals"))</f>
        <v>Below</v>
      </c>
      <c r="Q262" s="4" t="s">
        <v>338</v>
      </c>
      <c r="R262" s="5"/>
      <c r="S262" s="6"/>
      <c r="U262" s="12">
        <v>4</v>
      </c>
      <c r="V262" s="4">
        <v>1314</v>
      </c>
      <c r="W262" s="14">
        <v>45915</v>
      </c>
      <c r="X262" s="4"/>
      <c r="Y262" s="13"/>
      <c r="Z262" s="13"/>
      <c r="AA262" s="4"/>
      <c r="AB262" s="4"/>
      <c r="AD262" s="9"/>
      <c r="AE262" s="5"/>
      <c r="AF262" s="11"/>
      <c r="AG262" s="11"/>
      <c r="AI262" s="9"/>
      <c r="AJ262" s="11"/>
      <c r="AK262" s="4"/>
    </row>
    <row r="263" spans="1:38" ht="43.5">
      <c r="A263" s="4" t="s">
        <v>50</v>
      </c>
      <c r="B263" s="4">
        <v>14</v>
      </c>
      <c r="C263" s="4">
        <v>38</v>
      </c>
      <c r="D263" s="6" t="s">
        <v>608</v>
      </c>
      <c r="E263" s="4" t="s">
        <v>11</v>
      </c>
      <c r="F263" s="4" t="str" cm="1">
        <f t="array" ref="F263">_xlfn.IFS(
  E263="Mahuva", "Mahuva",
  E263="Jesar", "Mahuva",
  E263="Palitana", "Palitana",
  E263="Gariyadhar", "Palitana",
  E263="Talaja", "Talaja",
  E263="Vallabhipur", "Vallabhipur",
  E263="Umrala", "Vallabhipur",
  E263="Shihor", "Shihor",
  E263="Ghogha", "Bhavnagar",
  E263="Bhavnagar", "Bhavnagar"
)</f>
        <v>Shihor</v>
      </c>
      <c r="G263" s="4" t="s">
        <v>206</v>
      </c>
      <c r="H263" s="4">
        <v>211834</v>
      </c>
      <c r="I263" s="4"/>
      <c r="J263" s="5">
        <v>45872</v>
      </c>
      <c r="K263" s="5">
        <v>45880</v>
      </c>
      <c r="L263" s="5">
        <v>45881</v>
      </c>
      <c r="M263" s="7">
        <v>2079935.08</v>
      </c>
      <c r="N263" s="7">
        <v>1953683.02</v>
      </c>
      <c r="O263" s="8">
        <v>-6.07</v>
      </c>
      <c r="P263" s="8" t="str">
        <f>IF(O263&lt;0,"Below",IF(O263&gt;0,"Above","Equals"))</f>
        <v>Below</v>
      </c>
      <c r="Q263" s="4" t="s">
        <v>338</v>
      </c>
      <c r="R263" s="5"/>
      <c r="S263" s="6"/>
      <c r="U263" s="12">
        <v>4</v>
      </c>
      <c r="V263" s="4">
        <v>1330</v>
      </c>
      <c r="W263" s="14">
        <v>45915</v>
      </c>
      <c r="X263" s="4" t="s">
        <v>50</v>
      </c>
      <c r="Y263" s="13">
        <v>345</v>
      </c>
      <c r="Z263" s="26">
        <v>46108</v>
      </c>
      <c r="AA263" s="4" t="s">
        <v>299</v>
      </c>
      <c r="AB263" s="4" t="s">
        <v>312</v>
      </c>
      <c r="AC263" s="33" t="s">
        <v>1109</v>
      </c>
      <c r="AD263" s="9">
        <v>98000</v>
      </c>
      <c r="AE263" s="5">
        <v>45706</v>
      </c>
      <c r="AF263" s="11"/>
      <c r="AG263" s="11"/>
      <c r="AI263" s="9"/>
      <c r="AJ263" s="11"/>
      <c r="AK263" s="4">
        <v>428</v>
      </c>
      <c r="AL263" s="26">
        <v>46108</v>
      </c>
    </row>
    <row r="264" spans="1:38" ht="43.5">
      <c r="A264" s="4" t="s">
        <v>50</v>
      </c>
      <c r="B264" s="4">
        <v>14</v>
      </c>
      <c r="C264" s="4">
        <v>39</v>
      </c>
      <c r="D264" s="6" t="s">
        <v>609</v>
      </c>
      <c r="E264" s="4" t="s">
        <v>11</v>
      </c>
      <c r="F264" s="4" t="str" cm="1">
        <f t="array" ref="F264">_xlfn.IFS(
  E264="Mahuva", "Mahuva",
  E264="Jesar", "Mahuva",
  E264="Palitana", "Palitana",
  E264="Gariyadhar", "Palitana",
  E264="Talaja", "Talaja",
  E264="Vallabhipur", "Vallabhipur",
  E264="Umrala", "Vallabhipur",
  E264="Shihor", "Shihor",
  E264="Ghogha", "Bhavnagar",
  E264="Bhavnagar", "Bhavnagar"
)</f>
        <v>Shihor</v>
      </c>
      <c r="G264" s="4" t="s">
        <v>206</v>
      </c>
      <c r="H264" s="4">
        <v>211837</v>
      </c>
      <c r="I264" s="4"/>
      <c r="J264" s="5">
        <v>45872</v>
      </c>
      <c r="K264" s="5">
        <v>45880</v>
      </c>
      <c r="L264" s="5">
        <v>45881</v>
      </c>
      <c r="M264" s="7">
        <v>2079935.08</v>
      </c>
      <c r="N264" s="7">
        <v>1953683.02</v>
      </c>
      <c r="O264" s="8">
        <v>-6.07</v>
      </c>
      <c r="P264" s="8" t="str">
        <f>IF(O264&lt;0,"Below",IF(O264&gt;0,"Above","Equals"))</f>
        <v>Below</v>
      </c>
      <c r="Q264" s="4" t="s">
        <v>338</v>
      </c>
      <c r="R264" s="5"/>
      <c r="S264" s="6"/>
      <c r="U264" s="12">
        <v>4</v>
      </c>
      <c r="V264" s="4">
        <v>1315</v>
      </c>
      <c r="W264" s="14">
        <v>45915</v>
      </c>
      <c r="X264" s="4" t="s">
        <v>50</v>
      </c>
      <c r="Y264" s="13">
        <v>189</v>
      </c>
      <c r="Z264" s="26">
        <v>45943</v>
      </c>
      <c r="AA264" s="4" t="s">
        <v>299</v>
      </c>
      <c r="AB264" s="4" t="s">
        <v>312</v>
      </c>
      <c r="AC264" s="33">
        <v>44526140342</v>
      </c>
      <c r="AD264" s="9">
        <v>98000</v>
      </c>
      <c r="AE264" s="5">
        <v>45934</v>
      </c>
      <c r="AF264" s="11"/>
      <c r="AG264" s="11"/>
      <c r="AI264" s="9"/>
      <c r="AJ264" s="11"/>
      <c r="AK264" s="4">
        <v>1473</v>
      </c>
      <c r="AL264" s="14">
        <v>45943</v>
      </c>
    </row>
    <row r="265" spans="1:38" ht="43.5">
      <c r="A265" s="4" t="s">
        <v>50</v>
      </c>
      <c r="B265" s="4">
        <v>14</v>
      </c>
      <c r="C265" s="4">
        <v>40</v>
      </c>
      <c r="D265" s="6" t="s">
        <v>610</v>
      </c>
      <c r="E265" s="4" t="s">
        <v>228</v>
      </c>
      <c r="F265" s="4" t="str" cm="1">
        <f t="array" ref="F265">_xlfn.IFS(
  E265="Mahuva", "Mahuva",
  E265="Jesar", "Mahuva",
  E265="Palitana", "Palitana",
  E265="Gariyadhar", "Palitana",
  E265="Talaja", "Talaja",
  E265="Vallabhipur", "Vallabhipur",
  E265="Umrala", "Vallabhipur",
  E265="Shihor", "Shihor",
  E265="Ghogha", "Bhavnagar",
  E265="Bhavnagar", "Bhavnagar"
)</f>
        <v>Mahuva</v>
      </c>
      <c r="G265" s="4" t="s">
        <v>206</v>
      </c>
      <c r="H265" s="4">
        <v>211841</v>
      </c>
      <c r="I265" s="4"/>
      <c r="J265" s="5">
        <v>45872</v>
      </c>
      <c r="K265" s="5">
        <v>45880</v>
      </c>
      <c r="L265" s="5">
        <v>45881</v>
      </c>
      <c r="M265" s="7">
        <v>2079935.08</v>
      </c>
      <c r="N265" s="7">
        <v>1954514.99</v>
      </c>
      <c r="O265" s="8">
        <v>-6.03</v>
      </c>
      <c r="P265" s="8" t="str">
        <f>IF(O265&lt;0,"Below",IF(O265&gt;0,"Above","Equals"))</f>
        <v>Below</v>
      </c>
      <c r="Q265" s="4" t="s">
        <v>566</v>
      </c>
      <c r="R265" s="5"/>
      <c r="S265" s="6"/>
      <c r="U265" s="12">
        <v>4</v>
      </c>
      <c r="V265" s="4">
        <v>1357</v>
      </c>
      <c r="W265" s="14">
        <v>45922</v>
      </c>
      <c r="X265" s="4" t="s">
        <v>50</v>
      </c>
      <c r="Y265" s="13">
        <v>257</v>
      </c>
      <c r="Z265" s="26">
        <v>46014</v>
      </c>
      <c r="AA265" s="4" t="s">
        <v>299</v>
      </c>
      <c r="AB265" s="4" t="s">
        <v>312</v>
      </c>
      <c r="AC265" s="33">
        <v>44744794147</v>
      </c>
      <c r="AD265" s="9">
        <v>98000</v>
      </c>
      <c r="AE265" s="5">
        <v>46007</v>
      </c>
      <c r="AF265" s="11"/>
      <c r="AG265" s="11"/>
      <c r="AI265" s="9"/>
      <c r="AJ265" s="11"/>
      <c r="AK265" s="4">
        <v>1802</v>
      </c>
      <c r="AL265" s="14">
        <v>46014</v>
      </c>
    </row>
    <row r="266" spans="1:38" ht="43.5">
      <c r="A266" s="4" t="s">
        <v>50</v>
      </c>
      <c r="B266" s="4">
        <v>14</v>
      </c>
      <c r="C266" s="4">
        <v>41</v>
      </c>
      <c r="D266" s="6" t="s">
        <v>552</v>
      </c>
      <c r="E266" s="4" t="s">
        <v>2</v>
      </c>
      <c r="F266" s="4" t="str" cm="1">
        <f t="array" ref="F266">_xlfn.IFS(
  E266="Mahuva", "Mahuva",
  E266="Jesar", "Mahuva",
  E266="Palitana", "Palitana",
  E266="Gariyadhar", "Palitana",
  E266="Talaja", "Talaja",
  E266="Vallabhipur", "Vallabhipur",
  E266="Umrala", "Vallabhipur",
  E266="Shihor", "Shihor",
  E266="Ghogha", "Bhavnagar",
  E266="Bhavnagar", "Bhavnagar"
)</f>
        <v>Palitana</v>
      </c>
      <c r="G266" s="4" t="s">
        <v>206</v>
      </c>
      <c r="H266" s="4">
        <v>211842</v>
      </c>
      <c r="I266" s="4">
        <v>2</v>
      </c>
      <c r="J266" s="5">
        <v>45872</v>
      </c>
      <c r="K266" s="5">
        <v>45880</v>
      </c>
      <c r="L266" s="5">
        <v>45881</v>
      </c>
      <c r="M266" s="7">
        <v>2420954.2000000002</v>
      </c>
      <c r="N266" s="7">
        <v>2197742.2200000002</v>
      </c>
      <c r="O266" s="8">
        <v>-9.2200000000000006</v>
      </c>
      <c r="P266" s="8" t="str">
        <f>IF(O266&lt;0,"Below",IF(O266&gt;0,"Above","Equals"))</f>
        <v>Below</v>
      </c>
      <c r="Q266" s="4" t="s">
        <v>550</v>
      </c>
      <c r="R266" s="5"/>
      <c r="S266" s="6"/>
      <c r="U266" s="12">
        <v>4</v>
      </c>
      <c r="V266" s="4">
        <v>1181</v>
      </c>
      <c r="W266" s="14">
        <v>45890</v>
      </c>
      <c r="X266" s="4" t="s">
        <v>50</v>
      </c>
      <c r="Y266" s="13">
        <v>111</v>
      </c>
      <c r="Z266" s="26">
        <v>45895</v>
      </c>
      <c r="AA266" s="4" t="s">
        <v>299</v>
      </c>
      <c r="AB266" s="4" t="s">
        <v>306</v>
      </c>
      <c r="AC266" s="33" t="s">
        <v>570</v>
      </c>
      <c r="AD266" s="9">
        <v>110000</v>
      </c>
      <c r="AE266" s="5">
        <v>45891</v>
      </c>
      <c r="AF266" s="11"/>
      <c r="AG266" s="11"/>
      <c r="AI266" s="9"/>
      <c r="AJ266" s="11"/>
      <c r="AK266" s="4">
        <v>1203</v>
      </c>
      <c r="AL266" s="14">
        <v>45895</v>
      </c>
    </row>
    <row r="267" spans="1:38" ht="29">
      <c r="A267" s="4" t="s">
        <v>50</v>
      </c>
      <c r="B267" s="4">
        <v>14</v>
      </c>
      <c r="C267" s="4">
        <v>42</v>
      </c>
      <c r="D267" s="6" t="s">
        <v>551</v>
      </c>
      <c r="E267" s="4" t="s">
        <v>1</v>
      </c>
      <c r="F267" s="4" t="str" cm="1">
        <f t="array" ref="F267">_xlfn.IFS(
  E267="Mahuva", "Mahuva",
  E267="Jesar", "Mahuva",
  E267="Palitana", "Palitana",
  E267="Gariyadhar", "Palitana",
  E267="Talaja", "Talaja",
  E267="Vallabhipur", "Vallabhipur",
  E267="Umrala", "Vallabhipur",
  E267="Shihor", "Shihor",
  E267="Ghogha", "Bhavnagar",
  E267="Bhavnagar", "Bhavnagar"
)</f>
        <v>Vallabhipur</v>
      </c>
      <c r="G267" s="4" t="s">
        <v>206</v>
      </c>
      <c r="H267" s="4">
        <v>211843</v>
      </c>
      <c r="I267" s="4">
        <v>2</v>
      </c>
      <c r="J267" s="5">
        <v>45872</v>
      </c>
      <c r="K267" s="5">
        <v>45880</v>
      </c>
      <c r="L267" s="5">
        <v>45881</v>
      </c>
      <c r="M267" s="7">
        <v>1634615.63</v>
      </c>
      <c r="N267" s="7">
        <v>1525750.23</v>
      </c>
      <c r="O267" s="8">
        <v>-6.66</v>
      </c>
      <c r="P267" s="8" t="str">
        <f>IF(O267&lt;0,"Below",IF(O267&gt;0,"Above","Equals"))</f>
        <v>Below</v>
      </c>
      <c r="Q267" s="4" t="s">
        <v>4</v>
      </c>
      <c r="R267" s="5"/>
      <c r="S267" s="6"/>
      <c r="U267" s="12">
        <v>4</v>
      </c>
      <c r="V267" s="4">
        <v>1183</v>
      </c>
      <c r="W267" s="14">
        <v>45890</v>
      </c>
      <c r="X267" s="4" t="s">
        <v>50</v>
      </c>
      <c r="Y267" s="13">
        <v>167</v>
      </c>
      <c r="Z267" s="14">
        <v>45931</v>
      </c>
      <c r="AA267" s="4" t="s">
        <v>299</v>
      </c>
      <c r="AB267" s="4" t="s">
        <v>312</v>
      </c>
      <c r="AC267" s="33">
        <v>44480750901</v>
      </c>
      <c r="AD267" s="9">
        <v>77000</v>
      </c>
      <c r="AE267" s="5">
        <v>45918</v>
      </c>
      <c r="AF267" s="11"/>
      <c r="AG267" s="11"/>
      <c r="AI267" s="9"/>
      <c r="AJ267" s="11"/>
      <c r="AK267" s="4">
        <v>1408</v>
      </c>
      <c r="AL267" s="14">
        <v>45931</v>
      </c>
    </row>
    <row r="268" spans="1:38" ht="43.5">
      <c r="A268" s="4" t="s">
        <v>50</v>
      </c>
      <c r="B268" s="4">
        <v>14</v>
      </c>
      <c r="C268" s="4">
        <v>43</v>
      </c>
      <c r="D268" s="6" t="s">
        <v>549</v>
      </c>
      <c r="E268" s="4" t="s">
        <v>1</v>
      </c>
      <c r="F268" s="4" t="str" cm="1">
        <f t="array" ref="F268">_xlfn.IFS(
  E268="Mahuva", "Mahuva",
  E268="Jesar", "Mahuva",
  E268="Palitana", "Palitana",
  E268="Gariyadhar", "Palitana",
  E268="Talaja", "Talaja",
  E268="Vallabhipur", "Vallabhipur",
  E268="Umrala", "Vallabhipur",
  E268="Shihor", "Shihor",
  E268="Ghogha", "Bhavnagar",
  E268="Bhavnagar", "Bhavnagar"
)</f>
        <v>Vallabhipur</v>
      </c>
      <c r="G268" s="4" t="s">
        <v>206</v>
      </c>
      <c r="H268" s="4">
        <v>211846</v>
      </c>
      <c r="I268" s="4">
        <v>2</v>
      </c>
      <c r="J268" s="5">
        <v>45872</v>
      </c>
      <c r="K268" s="5">
        <v>45880</v>
      </c>
      <c r="L268" s="5">
        <v>45881</v>
      </c>
      <c r="M268" s="7">
        <v>1634615.63</v>
      </c>
      <c r="N268" s="7">
        <v>1523952.15</v>
      </c>
      <c r="O268" s="8">
        <v>-6.77</v>
      </c>
      <c r="P268" s="8" t="str">
        <f>IF(O268&lt;0,"Below",IF(O268&gt;0,"Above","Equals"))</f>
        <v>Below</v>
      </c>
      <c r="Q268" s="4" t="s">
        <v>550</v>
      </c>
      <c r="R268" s="5"/>
      <c r="S268" s="6"/>
      <c r="U268" s="12">
        <v>4</v>
      </c>
      <c r="V268" s="4">
        <v>1182</v>
      </c>
      <c r="W268" s="14">
        <v>45890</v>
      </c>
      <c r="X268" s="4" t="s">
        <v>50</v>
      </c>
      <c r="Y268" s="13">
        <v>112</v>
      </c>
      <c r="Z268" s="26">
        <v>45895</v>
      </c>
      <c r="AA268" s="4" t="s">
        <v>299</v>
      </c>
      <c r="AB268" s="4" t="s">
        <v>306</v>
      </c>
      <c r="AC268" s="33" t="s">
        <v>571</v>
      </c>
      <c r="AD268" s="9">
        <v>77000</v>
      </c>
      <c r="AE268" s="5">
        <v>45891</v>
      </c>
      <c r="AF268" s="11"/>
      <c r="AG268" s="11"/>
      <c r="AI268" s="9"/>
      <c r="AJ268" s="11"/>
      <c r="AK268" s="4">
        <v>1204</v>
      </c>
      <c r="AL268" s="14">
        <v>45895</v>
      </c>
    </row>
    <row r="269" spans="1:38" ht="58">
      <c r="A269" s="4" t="s">
        <v>50</v>
      </c>
      <c r="B269" s="4">
        <v>14</v>
      </c>
      <c r="C269" s="4">
        <v>44</v>
      </c>
      <c r="D269" s="6" t="s">
        <v>526</v>
      </c>
      <c r="E269" s="4" t="s">
        <v>207</v>
      </c>
      <c r="F269" s="4" t="str" cm="1">
        <f t="array" ref="F269">_xlfn.IFS(
  E269="Mahuva", "Mahuva",
  E269="Jesar", "Mahuva",
  E269="Palitana", "Palitana",
  E269="Gariyadhar", "Palitana",
  E269="Talaja", "Talaja",
  E269="Vallabhipur", "Vallabhipur",
  E269="Umrala", "Vallabhipur",
  E269="Shihor", "Shihor",
  E269="Ghogha", "Bhavnagar",
  E269="Bhavnagar", "Bhavnagar"
)</f>
        <v>Palitana</v>
      </c>
      <c r="G269" s="4" t="s">
        <v>206</v>
      </c>
      <c r="H269" s="4">
        <v>211848</v>
      </c>
      <c r="I269" s="4"/>
      <c r="J269" s="5">
        <v>45872</v>
      </c>
      <c r="K269" s="5">
        <v>45880</v>
      </c>
      <c r="L269" s="5">
        <v>45881</v>
      </c>
      <c r="O269" s="8"/>
      <c r="P269" s="8" t="str">
        <f>IF(O269&lt;0,"Below",IF(O269&gt;0,"Above","Equals"))</f>
        <v>Equals</v>
      </c>
      <c r="R269" s="5"/>
      <c r="S269" s="6"/>
      <c r="U269" s="12"/>
      <c r="V269" s="4"/>
      <c r="X269" s="4"/>
      <c r="Y269" s="13"/>
      <c r="Z269" s="13"/>
      <c r="AA269" s="4"/>
      <c r="AB269" s="4"/>
      <c r="AD269" s="9"/>
      <c r="AE269" s="5"/>
      <c r="AF269" s="11"/>
      <c r="AG269" s="11"/>
      <c r="AI269" s="9"/>
      <c r="AJ269" s="11"/>
      <c r="AK269" s="4"/>
    </row>
    <row r="270" spans="1:38" ht="43.5">
      <c r="A270" s="4" t="s">
        <v>50</v>
      </c>
      <c r="B270" s="4">
        <v>14</v>
      </c>
      <c r="C270" s="4">
        <v>45</v>
      </c>
      <c r="D270" s="6" t="s">
        <v>208</v>
      </c>
      <c r="E270" s="4" t="s">
        <v>207</v>
      </c>
      <c r="F270" s="4" t="str" cm="1">
        <f t="array" ref="F270">_xlfn.IFS(
  E270="Mahuva", "Mahuva",
  E270="Jesar", "Mahuva",
  E270="Palitana", "Palitana",
  E270="Gariyadhar", "Palitana",
  E270="Talaja", "Talaja",
  E270="Vallabhipur", "Vallabhipur",
  E270="Umrala", "Vallabhipur",
  E270="Shihor", "Shihor",
  E270="Ghogha", "Bhavnagar",
  E270="Bhavnagar", "Bhavnagar"
)</f>
        <v>Palitana</v>
      </c>
      <c r="G270" s="4" t="s">
        <v>206</v>
      </c>
      <c r="H270" s="4">
        <v>211850</v>
      </c>
      <c r="I270" s="4"/>
      <c r="J270" s="5">
        <v>45872</v>
      </c>
      <c r="K270" s="5">
        <v>45880</v>
      </c>
      <c r="L270" s="5">
        <v>45881</v>
      </c>
      <c r="O270" s="8"/>
      <c r="P270" s="8" t="str">
        <f>IF(O270&lt;0,"Below",IF(O270&gt;0,"Above","Equals"))</f>
        <v>Equals</v>
      </c>
      <c r="R270" s="5"/>
      <c r="S270" s="6"/>
      <c r="U270" s="12"/>
      <c r="V270" s="4"/>
      <c r="X270" s="4"/>
      <c r="Y270" s="13"/>
      <c r="Z270" s="13"/>
      <c r="AA270" s="4"/>
      <c r="AB270" s="4"/>
      <c r="AD270" s="9"/>
      <c r="AE270" s="5"/>
      <c r="AF270" s="11"/>
      <c r="AG270" s="11"/>
      <c r="AI270" s="9"/>
      <c r="AJ270" s="11"/>
      <c r="AK270" s="4"/>
    </row>
    <row r="271" spans="1:38" ht="58">
      <c r="A271" s="4" t="s">
        <v>50</v>
      </c>
      <c r="B271" s="4">
        <v>14</v>
      </c>
      <c r="C271" s="4">
        <v>46</v>
      </c>
      <c r="D271" s="6" t="s">
        <v>209</v>
      </c>
      <c r="E271" s="4" t="s">
        <v>0</v>
      </c>
      <c r="F271" s="4" t="str" cm="1">
        <f t="array" ref="F271">_xlfn.IFS(
  E271="Mahuva", "Mahuva",
  E271="Jesar", "Mahuva",
  E271="Palitana", "Palitana",
  E271="Gariyadhar", "Palitana",
  E271="Talaja", "Talaja",
  E271="Vallabhipur", "Vallabhipur",
  E271="Umrala", "Vallabhipur",
  E271="Shihor", "Shihor",
  E271="Ghogha", "Bhavnagar",
  E271="Bhavnagar", "Bhavnagar"
)</f>
        <v>Bhavnagar</v>
      </c>
      <c r="G271" s="4" t="s">
        <v>206</v>
      </c>
      <c r="H271" s="4">
        <v>211853</v>
      </c>
      <c r="I271" s="4"/>
      <c r="J271" s="5">
        <v>45872</v>
      </c>
      <c r="K271" s="5">
        <v>45880</v>
      </c>
      <c r="L271" s="5">
        <v>45881</v>
      </c>
      <c r="O271" s="8"/>
      <c r="P271" s="8" t="str">
        <f>IF(O271&lt;0,"Below",IF(O271&gt;0,"Above","Equals"))</f>
        <v>Equals</v>
      </c>
      <c r="R271" s="5"/>
      <c r="S271" s="6"/>
      <c r="U271" s="12"/>
      <c r="V271" s="4"/>
      <c r="X271" s="4"/>
      <c r="Y271" s="13"/>
      <c r="Z271" s="13"/>
      <c r="AA271" s="4"/>
      <c r="AB271" s="4"/>
      <c r="AD271" s="9"/>
      <c r="AE271" s="5"/>
      <c r="AF271" s="11"/>
      <c r="AG271" s="11"/>
      <c r="AI271" s="9"/>
      <c r="AJ271" s="11"/>
      <c r="AK271" s="4"/>
    </row>
    <row r="272" spans="1:38" ht="43.5">
      <c r="A272" s="4" t="s">
        <v>50</v>
      </c>
      <c r="B272" s="4">
        <v>14</v>
      </c>
      <c r="C272" s="4">
        <v>47</v>
      </c>
      <c r="D272" s="34" t="s">
        <v>211</v>
      </c>
      <c r="E272" s="4" t="s">
        <v>10</v>
      </c>
      <c r="F272" s="4" t="str" cm="1">
        <f t="array" ref="F272">_xlfn.IFS(
  E272="Mahuva", "Mahuva",
  E272="Jesar", "Mahuva",
  E272="Palitana", "Palitana",
  E272="Gariyadhar", "Palitana",
  E272="Talaja", "Talaja",
  E272="Vallabhipur", "Vallabhipur",
  E272="Umrala", "Vallabhipur",
  E272="Shihor", "Shihor",
  E272="Ghogha", "Bhavnagar",
  E272="Bhavnagar", "Bhavnagar"
)</f>
        <v>Mahuva</v>
      </c>
      <c r="G272" s="4" t="s">
        <v>206</v>
      </c>
      <c r="H272" s="4">
        <v>211854</v>
      </c>
      <c r="I272" s="4"/>
      <c r="J272" s="5">
        <v>45872</v>
      </c>
      <c r="K272" s="5">
        <v>45880</v>
      </c>
      <c r="L272" s="5">
        <v>45881</v>
      </c>
      <c r="O272" s="8"/>
      <c r="P272" s="8" t="str">
        <f>IF(O272&lt;0,"Below",IF(O272&gt;0,"Above","Equals"))</f>
        <v>Equals</v>
      </c>
      <c r="R272" s="5"/>
      <c r="S272" s="6"/>
      <c r="U272" s="12"/>
      <c r="V272" s="4"/>
      <c r="X272" s="4"/>
      <c r="Y272" s="13"/>
      <c r="Z272" s="13"/>
      <c r="AA272" s="4"/>
      <c r="AB272" s="4"/>
      <c r="AD272" s="9"/>
      <c r="AE272" s="5"/>
      <c r="AF272" s="11"/>
      <c r="AG272" s="11"/>
      <c r="AI272" s="9"/>
      <c r="AJ272" s="11"/>
      <c r="AK272" s="4"/>
    </row>
    <row r="273" spans="1:38" ht="43.5">
      <c r="A273" s="4" t="s">
        <v>50</v>
      </c>
      <c r="B273" s="4">
        <v>14</v>
      </c>
      <c r="C273" s="4">
        <v>48</v>
      </c>
      <c r="D273" s="6" t="s">
        <v>611</v>
      </c>
      <c r="E273" s="4" t="s">
        <v>10</v>
      </c>
      <c r="F273" s="4" t="str" cm="1">
        <f t="array" ref="F273">_xlfn.IFS(
  E273="Mahuva", "Mahuva",
  E273="Jesar", "Mahuva",
  E273="Palitana", "Palitana",
  E273="Gariyadhar", "Palitana",
  E273="Talaja", "Talaja",
  E273="Vallabhipur", "Vallabhipur",
  E273="Umrala", "Vallabhipur",
  E273="Shihor", "Shihor",
  E273="Ghogha", "Bhavnagar",
  E273="Bhavnagar", "Bhavnagar"
)</f>
        <v>Mahuva</v>
      </c>
      <c r="G273" s="4" t="s">
        <v>206</v>
      </c>
      <c r="H273" s="4">
        <v>211857</v>
      </c>
      <c r="I273" s="4"/>
      <c r="J273" s="5">
        <v>45872</v>
      </c>
      <c r="K273" s="5">
        <v>45880</v>
      </c>
      <c r="L273" s="5">
        <v>45881</v>
      </c>
      <c r="M273" s="7">
        <v>1024912.96</v>
      </c>
      <c r="N273" s="7">
        <v>1012101.55</v>
      </c>
      <c r="O273" s="8">
        <v>-1.25</v>
      </c>
      <c r="P273" s="8" t="str">
        <f>IF(O273&lt;0,"Below",IF(O273&gt;0,"Above","Equals"))</f>
        <v>Below</v>
      </c>
      <c r="Q273" s="4" t="s">
        <v>565</v>
      </c>
      <c r="R273" s="5"/>
      <c r="S273" s="6"/>
      <c r="U273" s="12">
        <v>3</v>
      </c>
      <c r="V273" s="4">
        <v>1331</v>
      </c>
      <c r="W273" s="14">
        <v>45915</v>
      </c>
      <c r="X273" s="4" t="s">
        <v>50</v>
      </c>
      <c r="Y273" s="13">
        <v>230</v>
      </c>
      <c r="Z273" s="26">
        <v>46003</v>
      </c>
      <c r="AA273" s="4" t="s">
        <v>299</v>
      </c>
      <c r="AB273" s="4" t="s">
        <v>541</v>
      </c>
      <c r="AC273" s="33" t="s">
        <v>817</v>
      </c>
      <c r="AD273" s="9">
        <v>51000</v>
      </c>
      <c r="AE273" s="5">
        <v>45934</v>
      </c>
      <c r="AF273" s="11"/>
      <c r="AG273" s="11"/>
      <c r="AI273" s="9"/>
      <c r="AJ273" s="11"/>
      <c r="AK273" s="4">
        <v>1694</v>
      </c>
      <c r="AL273" s="14">
        <v>46003</v>
      </c>
    </row>
    <row r="274" spans="1:38" ht="43.5">
      <c r="A274" s="4" t="s">
        <v>50</v>
      </c>
      <c r="B274" s="4">
        <v>14</v>
      </c>
      <c r="C274" s="4">
        <v>49</v>
      </c>
      <c r="D274" s="6" t="s">
        <v>218</v>
      </c>
      <c r="E274" s="4" t="s">
        <v>10</v>
      </c>
      <c r="F274" s="4" t="str" cm="1">
        <f t="array" ref="F274">_xlfn.IFS(
  E274="Mahuva", "Mahuva",
  E274="Jesar", "Mahuva",
  E274="Palitana", "Palitana",
  E274="Gariyadhar", "Palitana",
  E274="Talaja", "Talaja",
  E274="Vallabhipur", "Vallabhipur",
  E274="Umrala", "Vallabhipur",
  E274="Shihor", "Shihor",
  E274="Ghogha", "Bhavnagar",
  E274="Bhavnagar", "Bhavnagar"
)</f>
        <v>Mahuva</v>
      </c>
      <c r="G274" s="4" t="s">
        <v>206</v>
      </c>
      <c r="H274" s="4">
        <v>211859</v>
      </c>
      <c r="I274" s="4"/>
      <c r="J274" s="5">
        <v>45872</v>
      </c>
      <c r="K274" s="5">
        <v>45880</v>
      </c>
      <c r="L274" s="5">
        <v>45881</v>
      </c>
      <c r="O274" s="8"/>
      <c r="P274" s="8" t="str">
        <f>IF(O274&lt;0,"Below",IF(O274&gt;0,"Above","Equals"))</f>
        <v>Equals</v>
      </c>
      <c r="R274" s="5"/>
      <c r="S274" s="6"/>
      <c r="U274" s="12"/>
      <c r="V274" s="4"/>
      <c r="X274" s="4"/>
      <c r="Y274" s="13"/>
      <c r="Z274" s="13"/>
      <c r="AA274" s="4"/>
      <c r="AB274" s="4"/>
      <c r="AD274" s="9"/>
      <c r="AE274" s="5"/>
      <c r="AF274" s="11"/>
      <c r="AG274" s="11"/>
      <c r="AI274" s="9"/>
      <c r="AJ274" s="11"/>
      <c r="AK274" s="4"/>
    </row>
    <row r="275" spans="1:38" ht="43.5">
      <c r="A275" s="4" t="s">
        <v>50</v>
      </c>
      <c r="B275" s="4">
        <v>14</v>
      </c>
      <c r="C275" s="4">
        <v>50</v>
      </c>
      <c r="D275" s="6" t="s">
        <v>612</v>
      </c>
      <c r="E275" s="4" t="s">
        <v>10</v>
      </c>
      <c r="F275" s="4" t="str" cm="1">
        <f t="array" ref="F275">_xlfn.IFS(
  E275="Mahuva", "Mahuva",
  E275="Jesar", "Mahuva",
  E275="Palitana", "Palitana",
  E275="Gariyadhar", "Palitana",
  E275="Talaja", "Talaja",
  E275="Vallabhipur", "Vallabhipur",
  E275="Umrala", "Vallabhipur",
  E275="Shihor", "Shihor",
  E275="Ghogha", "Bhavnagar",
  E275="Bhavnagar", "Bhavnagar"
)</f>
        <v>Mahuva</v>
      </c>
      <c r="G275" s="4" t="s">
        <v>206</v>
      </c>
      <c r="H275" s="4">
        <v>211861</v>
      </c>
      <c r="I275" s="4"/>
      <c r="J275" s="5">
        <v>45872</v>
      </c>
      <c r="K275" s="5">
        <v>45880</v>
      </c>
      <c r="L275" s="5">
        <v>45881</v>
      </c>
      <c r="M275" s="7">
        <v>1024912.96</v>
      </c>
      <c r="N275" s="7">
        <v>1024912.96</v>
      </c>
      <c r="O275" s="8">
        <v>0</v>
      </c>
      <c r="P275" s="8" t="str">
        <f>IF(O275&lt;0,"Below",IF(O275&gt;0,"Above","Equals"))</f>
        <v>Equals</v>
      </c>
      <c r="Q275" s="4" t="s">
        <v>567</v>
      </c>
      <c r="R275" s="5"/>
      <c r="S275" s="6"/>
      <c r="U275" s="12">
        <v>3</v>
      </c>
      <c r="V275" s="4">
        <v>228</v>
      </c>
      <c r="W275" s="14">
        <v>46066</v>
      </c>
      <c r="X275" s="4" t="s">
        <v>50</v>
      </c>
      <c r="Y275" s="13">
        <v>328</v>
      </c>
      <c r="Z275" s="14">
        <v>46088</v>
      </c>
      <c r="AA275" s="4" t="s">
        <v>299</v>
      </c>
      <c r="AB275" s="4" t="s">
        <v>312</v>
      </c>
      <c r="AC275" s="33" t="s">
        <v>1051</v>
      </c>
      <c r="AD275" s="9">
        <v>52000</v>
      </c>
      <c r="AE275" s="5">
        <v>46077</v>
      </c>
      <c r="AF275" s="11"/>
      <c r="AG275" s="11"/>
      <c r="AI275" s="9"/>
      <c r="AJ275" s="11"/>
      <c r="AK275" s="4">
        <v>332</v>
      </c>
      <c r="AL275" s="14">
        <v>46088</v>
      </c>
    </row>
    <row r="276" spans="1:38" ht="43.5">
      <c r="A276" s="4" t="s">
        <v>50</v>
      </c>
      <c r="B276" s="4">
        <v>14</v>
      </c>
      <c r="C276" s="4">
        <v>51</v>
      </c>
      <c r="D276" s="6" t="s">
        <v>613</v>
      </c>
      <c r="E276" s="4" t="s">
        <v>10</v>
      </c>
      <c r="F276" s="4" t="str" cm="1">
        <f t="array" ref="F276">_xlfn.IFS(
  E276="Mahuva", "Mahuva",
  E276="Jesar", "Mahuva",
  E276="Palitana", "Palitana",
  E276="Gariyadhar", "Palitana",
  E276="Talaja", "Talaja",
  E276="Vallabhipur", "Vallabhipur",
  E276="Umrala", "Vallabhipur",
  E276="Shihor", "Shihor",
  E276="Ghogha", "Bhavnagar",
  E276="Bhavnagar", "Bhavnagar"
)</f>
        <v>Mahuva</v>
      </c>
      <c r="G276" s="4" t="s">
        <v>206</v>
      </c>
      <c r="H276" s="4">
        <v>211875</v>
      </c>
      <c r="I276" s="4"/>
      <c r="J276" s="5">
        <v>45872</v>
      </c>
      <c r="K276" s="5">
        <v>45880</v>
      </c>
      <c r="L276" s="5">
        <v>45881</v>
      </c>
      <c r="M276" s="7">
        <v>1024912.96</v>
      </c>
      <c r="N276" s="7">
        <v>991398.31</v>
      </c>
      <c r="O276" s="8">
        <v>-3.27</v>
      </c>
      <c r="P276" s="8" t="str">
        <f>IF(O276&lt;0,"Below",IF(O276&gt;0,"Above","Equals"))</f>
        <v>Below</v>
      </c>
      <c r="Q276" s="4" t="s">
        <v>565</v>
      </c>
      <c r="R276" s="5"/>
      <c r="S276" s="6"/>
      <c r="U276" s="12">
        <v>3</v>
      </c>
      <c r="V276" s="4">
        <v>1332</v>
      </c>
      <c r="W276" s="14">
        <v>45915</v>
      </c>
      <c r="X276" s="4" t="s">
        <v>50</v>
      </c>
      <c r="Y276" s="13">
        <v>231</v>
      </c>
      <c r="Z276" s="26">
        <v>46003</v>
      </c>
      <c r="AA276" s="4" t="s">
        <v>299</v>
      </c>
      <c r="AB276" s="4" t="s">
        <v>541</v>
      </c>
      <c r="AC276" s="33" t="s">
        <v>818</v>
      </c>
      <c r="AD276" s="9">
        <v>50000</v>
      </c>
      <c r="AE276" s="5">
        <v>45934</v>
      </c>
      <c r="AF276" s="11"/>
      <c r="AG276" s="11"/>
      <c r="AI276" s="9"/>
      <c r="AJ276" s="11"/>
      <c r="AK276" s="4">
        <v>1695</v>
      </c>
      <c r="AL276" s="14">
        <v>46003</v>
      </c>
    </row>
    <row r="277" spans="1:38" ht="43.5">
      <c r="A277" s="4" t="s">
        <v>50</v>
      </c>
      <c r="B277" s="4">
        <v>14</v>
      </c>
      <c r="C277" s="4">
        <v>52</v>
      </c>
      <c r="D277" s="6" t="s">
        <v>221</v>
      </c>
      <c r="E277" s="4" t="s">
        <v>10</v>
      </c>
      <c r="F277" s="4" t="str" cm="1">
        <f t="array" ref="F277">_xlfn.IFS(
  E277="Mahuva", "Mahuva",
  E277="Jesar", "Mahuva",
  E277="Palitana", "Palitana",
  E277="Gariyadhar", "Palitana",
  E277="Talaja", "Talaja",
  E277="Vallabhipur", "Vallabhipur",
  E277="Umrala", "Vallabhipur",
  E277="Shihor", "Shihor",
  E277="Ghogha", "Bhavnagar",
  E277="Bhavnagar", "Bhavnagar"
)</f>
        <v>Mahuva</v>
      </c>
      <c r="G277" s="4" t="s">
        <v>206</v>
      </c>
      <c r="H277" s="4">
        <v>211876</v>
      </c>
      <c r="I277" s="4"/>
      <c r="J277" s="5">
        <v>45872</v>
      </c>
      <c r="K277" s="5">
        <v>45880</v>
      </c>
      <c r="L277" s="5">
        <v>45881</v>
      </c>
      <c r="O277" s="8"/>
      <c r="P277" s="8" t="str">
        <f>IF(O277&lt;0,"Below",IF(O277&gt;0,"Above","Equals"))</f>
        <v>Equals</v>
      </c>
      <c r="R277" s="5"/>
      <c r="S277" s="6"/>
      <c r="U277" s="12"/>
      <c r="V277" s="4"/>
      <c r="X277" s="4"/>
      <c r="Y277" s="13"/>
      <c r="Z277" s="13"/>
      <c r="AA277" s="4"/>
      <c r="AB277" s="4"/>
      <c r="AD277" s="9"/>
      <c r="AE277" s="5"/>
      <c r="AF277" s="11"/>
      <c r="AG277" s="11"/>
      <c r="AI277" s="9"/>
      <c r="AJ277" s="11"/>
      <c r="AK277" s="4"/>
    </row>
    <row r="278" spans="1:38" ht="43.5">
      <c r="A278" s="4" t="s">
        <v>50</v>
      </c>
      <c r="B278" s="4">
        <v>14</v>
      </c>
      <c r="C278" s="4">
        <v>53</v>
      </c>
      <c r="D278" s="6" t="s">
        <v>614</v>
      </c>
      <c r="E278" s="4" t="s">
        <v>10</v>
      </c>
      <c r="F278" s="4" t="str" cm="1">
        <f t="array" ref="F278">_xlfn.IFS(
  E278="Mahuva", "Mahuva",
  E278="Jesar", "Mahuva",
  E278="Palitana", "Palitana",
  E278="Gariyadhar", "Palitana",
  E278="Talaja", "Talaja",
  E278="Vallabhipur", "Vallabhipur",
  E278="Umrala", "Vallabhipur",
  E278="Shihor", "Shihor",
  E278="Ghogha", "Bhavnagar",
  E278="Bhavnagar", "Bhavnagar"
)</f>
        <v>Mahuva</v>
      </c>
      <c r="G278" s="4" t="s">
        <v>206</v>
      </c>
      <c r="H278" s="4">
        <v>211877</v>
      </c>
      <c r="I278" s="4"/>
      <c r="J278" s="5">
        <v>45872</v>
      </c>
      <c r="K278" s="5">
        <v>45880</v>
      </c>
      <c r="L278" s="5">
        <v>45881</v>
      </c>
      <c r="M278" s="7">
        <v>1024912.96</v>
      </c>
      <c r="N278" s="7">
        <v>1024912.96</v>
      </c>
      <c r="O278" s="8">
        <v>0</v>
      </c>
      <c r="P278" s="8" t="str">
        <f>IF(O278&lt;0,"Below",IF(O278&gt;0,"Above","Equals"))</f>
        <v>Equals</v>
      </c>
      <c r="Q278" s="4" t="s">
        <v>567</v>
      </c>
      <c r="R278" s="5"/>
      <c r="S278" s="6"/>
      <c r="U278" s="12">
        <v>3</v>
      </c>
      <c r="V278" s="4">
        <v>229</v>
      </c>
      <c r="W278" s="14">
        <v>46066</v>
      </c>
      <c r="X278" s="4" t="s">
        <v>50</v>
      </c>
      <c r="Y278" s="13">
        <v>329</v>
      </c>
      <c r="Z278" s="14">
        <v>46088</v>
      </c>
      <c r="AA278" s="4" t="s">
        <v>299</v>
      </c>
      <c r="AB278" s="4" t="s">
        <v>312</v>
      </c>
      <c r="AC278" s="33" t="s">
        <v>1052</v>
      </c>
      <c r="AD278" s="9">
        <v>52000</v>
      </c>
      <c r="AE278" s="5">
        <v>46077</v>
      </c>
      <c r="AF278" s="11"/>
      <c r="AG278" s="11"/>
      <c r="AI278" s="9"/>
      <c r="AJ278" s="11"/>
      <c r="AK278" s="4">
        <v>333</v>
      </c>
      <c r="AL278" s="14">
        <v>46088</v>
      </c>
    </row>
    <row r="279" spans="1:38" ht="43.5">
      <c r="A279" s="4" t="s">
        <v>50</v>
      </c>
      <c r="B279" s="4">
        <v>14</v>
      </c>
      <c r="C279" s="4">
        <v>54</v>
      </c>
      <c r="D279" s="6" t="s">
        <v>615</v>
      </c>
      <c r="E279" s="4" t="s">
        <v>10</v>
      </c>
      <c r="F279" s="4" t="str" cm="1">
        <f t="array" ref="F279">_xlfn.IFS(
  E279="Mahuva", "Mahuva",
  E279="Jesar", "Mahuva",
  E279="Palitana", "Palitana",
  E279="Gariyadhar", "Palitana",
  E279="Talaja", "Talaja",
  E279="Vallabhipur", "Vallabhipur",
  E279="Umrala", "Vallabhipur",
  E279="Shihor", "Shihor",
  E279="Ghogha", "Bhavnagar",
  E279="Bhavnagar", "Bhavnagar"
)</f>
        <v>Mahuva</v>
      </c>
      <c r="G279" s="4" t="s">
        <v>206</v>
      </c>
      <c r="H279" s="4">
        <v>211878</v>
      </c>
      <c r="I279" s="4"/>
      <c r="J279" s="5">
        <v>45872</v>
      </c>
      <c r="K279" s="5">
        <v>45880</v>
      </c>
      <c r="L279" s="5">
        <v>45881</v>
      </c>
      <c r="M279" s="7">
        <v>1024912.96</v>
      </c>
      <c r="N279" s="7">
        <v>1012409.02</v>
      </c>
      <c r="O279" s="8">
        <v>-1.22</v>
      </c>
      <c r="P279" s="8" t="str">
        <f>IF(O279&lt;0,"Below",IF(O279&gt;0,"Above","Equals"))</f>
        <v>Below</v>
      </c>
      <c r="Q279" s="4" t="s">
        <v>550</v>
      </c>
      <c r="R279" s="5"/>
      <c r="S279" s="6"/>
      <c r="U279" s="12">
        <v>3</v>
      </c>
      <c r="V279" s="4">
        <v>1313</v>
      </c>
      <c r="W279" s="14">
        <v>45915</v>
      </c>
      <c r="X279" s="4" t="s">
        <v>50</v>
      </c>
      <c r="Y279" s="13">
        <v>315</v>
      </c>
      <c r="Z279" s="26">
        <v>46071</v>
      </c>
      <c r="AA279" s="4" t="s">
        <v>299</v>
      </c>
      <c r="AB279" s="4" t="s">
        <v>312</v>
      </c>
      <c r="AC279" s="33">
        <v>44828015771</v>
      </c>
      <c r="AD279" s="9">
        <v>51000</v>
      </c>
      <c r="AE279" s="5">
        <v>46035</v>
      </c>
      <c r="AF279" s="11"/>
      <c r="AG279" s="11"/>
      <c r="AI279" s="9"/>
      <c r="AJ279" s="11"/>
      <c r="AK279" s="4">
        <v>286</v>
      </c>
      <c r="AL279" s="14">
        <v>46071</v>
      </c>
    </row>
    <row r="280" spans="1:38" ht="43.5">
      <c r="A280" s="4" t="s">
        <v>50</v>
      </c>
      <c r="B280" s="4">
        <v>14</v>
      </c>
      <c r="C280" s="4">
        <v>55</v>
      </c>
      <c r="D280" s="6" t="s">
        <v>616</v>
      </c>
      <c r="E280" s="4" t="s">
        <v>10</v>
      </c>
      <c r="F280" s="4" t="str" cm="1">
        <f t="array" ref="F280">_xlfn.IFS(
  E280="Mahuva", "Mahuva",
  E280="Jesar", "Mahuva",
  E280="Palitana", "Palitana",
  E280="Gariyadhar", "Palitana",
  E280="Talaja", "Talaja",
  E280="Vallabhipur", "Vallabhipur",
  E280="Umrala", "Vallabhipur",
  E280="Shihor", "Shihor",
  E280="Ghogha", "Bhavnagar",
  E280="Bhavnagar", "Bhavnagar"
)</f>
        <v>Mahuva</v>
      </c>
      <c r="G280" s="4" t="s">
        <v>206</v>
      </c>
      <c r="H280" s="4">
        <v>211879</v>
      </c>
      <c r="I280" s="4"/>
      <c r="J280" s="5">
        <v>45872</v>
      </c>
      <c r="K280" s="5">
        <v>45880</v>
      </c>
      <c r="L280" s="5">
        <v>45881</v>
      </c>
      <c r="M280" s="7">
        <v>1024912.96</v>
      </c>
      <c r="N280" s="7">
        <v>990783.36</v>
      </c>
      <c r="O280" s="8">
        <v>-3.33</v>
      </c>
      <c r="P280" s="8" t="str">
        <f>IF(O280&lt;0,"Below",IF(O280&gt;0,"Above","Equals"))</f>
        <v>Below</v>
      </c>
      <c r="Q280" s="4" t="s">
        <v>229</v>
      </c>
      <c r="R280" s="5"/>
      <c r="S280" s="6"/>
      <c r="U280" s="12">
        <v>3</v>
      </c>
      <c r="V280" s="4">
        <v>1307</v>
      </c>
      <c r="W280" s="14">
        <v>45915</v>
      </c>
      <c r="X280" s="4" t="s">
        <v>50</v>
      </c>
      <c r="Y280" s="13">
        <v>186</v>
      </c>
      <c r="Z280" s="26">
        <v>45943</v>
      </c>
      <c r="AA280" s="4" t="s">
        <v>299</v>
      </c>
      <c r="AB280" s="4" t="s">
        <v>725</v>
      </c>
      <c r="AC280" s="33" t="s">
        <v>729</v>
      </c>
      <c r="AD280" s="9">
        <v>50000</v>
      </c>
      <c r="AE280" s="5">
        <v>45936</v>
      </c>
      <c r="AF280" s="11"/>
      <c r="AG280" s="11"/>
      <c r="AI280" s="9"/>
      <c r="AJ280" s="11"/>
      <c r="AK280" s="4">
        <v>1470</v>
      </c>
      <c r="AL280" s="14">
        <v>45943</v>
      </c>
    </row>
    <row r="281" spans="1:38" ht="43.5">
      <c r="A281" s="4" t="s">
        <v>50</v>
      </c>
      <c r="B281" s="4">
        <v>15</v>
      </c>
      <c r="C281" s="4">
        <v>1</v>
      </c>
      <c r="D281" s="6" t="s">
        <v>657</v>
      </c>
      <c r="E281" s="4" t="s">
        <v>11</v>
      </c>
      <c r="F281" s="4" t="str" cm="1">
        <f t="array" ref="F281">_xlfn.IFS(
  E281="Mahuva", "Mahuva",
  E281="Jesar", "Mahuva",
  E281="Palitana", "Palitana",
  E281="Gariyadhar", "Palitana",
  E281="Talaja", "Talaja",
  E281="Vallabhipur", "Vallabhipur",
  E281="Umrala", "Vallabhipur",
  E281="Shihor", "Shihor",
  E281="Ghogha", "Bhavnagar",
  E281="Bhavnagar", "Bhavnagar"
)</f>
        <v>Shihor</v>
      </c>
      <c r="G281" s="4" t="s">
        <v>206</v>
      </c>
      <c r="H281" s="4">
        <v>213142</v>
      </c>
      <c r="I281" s="4"/>
      <c r="J281" s="5">
        <v>45875</v>
      </c>
      <c r="K281" s="5">
        <v>45887</v>
      </c>
      <c r="L281" s="5">
        <v>45888</v>
      </c>
      <c r="M281" s="7">
        <v>2880130.57</v>
      </c>
      <c r="N281" s="7">
        <v>2618326.7000000002</v>
      </c>
      <c r="O281" s="8">
        <v>-9.09</v>
      </c>
      <c r="P281" s="8" t="str">
        <f>IF(O281&lt;0,"Below",IF(O281&gt;0,"Above","Equals"))</f>
        <v>Below</v>
      </c>
      <c r="Q281" s="4" t="s">
        <v>127</v>
      </c>
      <c r="R281" s="5"/>
      <c r="S281" s="6"/>
      <c r="U281" s="12">
        <v>4</v>
      </c>
      <c r="V281" s="4">
        <v>1338</v>
      </c>
      <c r="W281" s="14">
        <v>45915</v>
      </c>
      <c r="X281" s="4" t="s">
        <v>50</v>
      </c>
      <c r="Y281" s="13">
        <v>254</v>
      </c>
      <c r="Z281" s="26">
        <v>46014</v>
      </c>
      <c r="AA281" s="4" t="s">
        <v>299</v>
      </c>
      <c r="AB281" s="4" t="s">
        <v>647</v>
      </c>
      <c r="AC281" s="33" t="s">
        <v>840</v>
      </c>
      <c r="AD281" s="9">
        <v>131000</v>
      </c>
      <c r="AE281" s="5">
        <v>46009</v>
      </c>
      <c r="AF281" s="11"/>
      <c r="AG281" s="11"/>
      <c r="AI281" s="9"/>
      <c r="AJ281" s="11"/>
      <c r="AK281" s="4">
        <v>1799</v>
      </c>
      <c r="AL281" s="14">
        <v>46014</v>
      </c>
    </row>
    <row r="282" spans="1:38" ht="43.5">
      <c r="A282" s="4" t="s">
        <v>50</v>
      </c>
      <c r="B282" s="4">
        <v>15</v>
      </c>
      <c r="C282" s="4">
        <v>2</v>
      </c>
      <c r="D282" s="6" t="s">
        <v>658</v>
      </c>
      <c r="E282" s="4" t="s">
        <v>1</v>
      </c>
      <c r="F282" s="4" t="str" cm="1">
        <f t="array" ref="F282">_xlfn.IFS(
  E282="Mahuva", "Mahuva",
  E282="Jesar", "Mahuva",
  E282="Palitana", "Palitana",
  E282="Gariyadhar", "Palitana",
  E282="Talaja", "Talaja",
  E282="Vallabhipur", "Vallabhipur",
  E282="Umrala", "Vallabhipur",
  E282="Shihor", "Shihor",
  E282="Ghogha", "Bhavnagar",
  E282="Bhavnagar", "Bhavnagar"
)</f>
        <v>Vallabhipur</v>
      </c>
      <c r="G282" s="4" t="s">
        <v>206</v>
      </c>
      <c r="H282" s="4">
        <v>213143</v>
      </c>
      <c r="I282" s="4"/>
      <c r="J282" s="5">
        <v>45875</v>
      </c>
      <c r="K282" s="5">
        <v>45887</v>
      </c>
      <c r="L282" s="5">
        <v>45888</v>
      </c>
      <c r="M282" s="7">
        <v>577431.24</v>
      </c>
      <c r="N282" s="7">
        <v>523672.39</v>
      </c>
      <c r="O282" s="8">
        <v>-9.31</v>
      </c>
      <c r="P282" s="8" t="str">
        <f>IF(O282&lt;0,"Below",IF(O282&gt;0,"Above","Equals"))</f>
        <v>Below</v>
      </c>
      <c r="Q282" s="4" t="s">
        <v>568</v>
      </c>
      <c r="R282" s="5"/>
      <c r="S282" s="6"/>
      <c r="U282" s="12">
        <v>3</v>
      </c>
      <c r="V282" s="4">
        <v>1412</v>
      </c>
      <c r="W282" s="14">
        <v>45933</v>
      </c>
      <c r="X282" s="4" t="s">
        <v>50</v>
      </c>
      <c r="Y282" s="13">
        <v>196</v>
      </c>
      <c r="Z282" s="26">
        <v>45964</v>
      </c>
      <c r="AA282" s="4" t="s">
        <v>299</v>
      </c>
      <c r="AB282" s="4" t="s">
        <v>312</v>
      </c>
      <c r="AC282" s="33">
        <v>44555676058</v>
      </c>
      <c r="AD282" s="9">
        <v>27000</v>
      </c>
      <c r="AE282" s="5">
        <v>45944</v>
      </c>
      <c r="AF282" s="11"/>
      <c r="AG282" s="11"/>
      <c r="AI282" s="9"/>
      <c r="AJ282" s="11"/>
      <c r="AK282" s="4">
        <v>1498</v>
      </c>
      <c r="AL282" s="14">
        <v>45964</v>
      </c>
    </row>
    <row r="283" spans="1:38" ht="43.5">
      <c r="A283" s="4" t="s">
        <v>50</v>
      </c>
      <c r="B283" s="4">
        <v>15</v>
      </c>
      <c r="C283" s="4">
        <v>3</v>
      </c>
      <c r="D283" s="6" t="s">
        <v>659</v>
      </c>
      <c r="E283" s="4" t="s">
        <v>207</v>
      </c>
      <c r="F283" s="4" t="str" cm="1">
        <f t="array" ref="F283">_xlfn.IFS(
  E283="Mahuva", "Mahuva",
  E283="Jesar", "Mahuva",
  E283="Palitana", "Palitana",
  E283="Gariyadhar", "Palitana",
  E283="Talaja", "Talaja",
  E283="Vallabhipur", "Vallabhipur",
  E283="Umrala", "Vallabhipur",
  E283="Shihor", "Shihor",
  E283="Ghogha", "Bhavnagar",
  E283="Bhavnagar", "Bhavnagar"
)</f>
        <v>Palitana</v>
      </c>
      <c r="G283" s="4" t="s">
        <v>206</v>
      </c>
      <c r="H283" s="4">
        <v>213144</v>
      </c>
      <c r="I283" s="4"/>
      <c r="J283" s="5">
        <v>45875</v>
      </c>
      <c r="K283" s="5">
        <v>45887</v>
      </c>
      <c r="L283" s="5">
        <v>45888</v>
      </c>
      <c r="M283" s="7">
        <v>828966.94</v>
      </c>
      <c r="N283" s="7">
        <v>828966.94</v>
      </c>
      <c r="O283" s="8">
        <v>0</v>
      </c>
      <c r="P283" s="8" t="str">
        <f>IF(O283&lt;0,"Below",IF(O283&gt;0,"Above","Equals"))</f>
        <v>Equals</v>
      </c>
      <c r="Q283" s="4" t="s">
        <v>119</v>
      </c>
      <c r="R283" s="5"/>
      <c r="S283" s="6"/>
      <c r="U283" s="12">
        <v>3</v>
      </c>
      <c r="V283" s="4">
        <v>1529</v>
      </c>
      <c r="W283" s="14">
        <v>45974</v>
      </c>
      <c r="X283" s="4" t="s">
        <v>50</v>
      </c>
      <c r="Y283" s="13">
        <v>235</v>
      </c>
      <c r="Z283" s="26">
        <v>46004</v>
      </c>
      <c r="AA283" s="4" t="s">
        <v>299</v>
      </c>
      <c r="AB283" s="4" t="s">
        <v>725</v>
      </c>
      <c r="AC283" s="33" t="s">
        <v>822</v>
      </c>
      <c r="AD283" s="9">
        <v>42000</v>
      </c>
      <c r="AE283" s="5">
        <v>45993</v>
      </c>
      <c r="AF283" s="11"/>
      <c r="AG283" s="11"/>
      <c r="AI283" s="9"/>
      <c r="AJ283" s="11"/>
      <c r="AK283" s="4">
        <v>1700</v>
      </c>
      <c r="AL283" s="14">
        <v>46004</v>
      </c>
    </row>
    <row r="284" spans="1:38" ht="43.5">
      <c r="A284" s="4" t="s">
        <v>50</v>
      </c>
      <c r="B284" s="4">
        <v>15</v>
      </c>
      <c r="C284" s="4">
        <v>4</v>
      </c>
      <c r="D284" s="6" t="s">
        <v>660</v>
      </c>
      <c r="E284" s="4" t="s">
        <v>11</v>
      </c>
      <c r="F284" s="4" t="str" cm="1">
        <f t="array" ref="F284">_xlfn.IFS(
  E284="Mahuva", "Mahuva",
  E284="Jesar", "Mahuva",
  E284="Palitana", "Palitana",
  E284="Gariyadhar", "Palitana",
  E284="Talaja", "Talaja",
  E284="Vallabhipur", "Vallabhipur",
  E284="Umrala", "Vallabhipur",
  E284="Shihor", "Shihor",
  E284="Ghogha", "Bhavnagar",
  E284="Bhavnagar", "Bhavnagar"
)</f>
        <v>Shihor</v>
      </c>
      <c r="G284" s="4" t="s">
        <v>206</v>
      </c>
      <c r="H284" s="4">
        <v>213145</v>
      </c>
      <c r="I284" s="4"/>
      <c r="J284" s="5">
        <v>45875</v>
      </c>
      <c r="K284" s="5">
        <v>45887</v>
      </c>
      <c r="L284" s="5">
        <v>45888</v>
      </c>
      <c r="M284" s="7">
        <v>1024912.96</v>
      </c>
      <c r="N284" s="7">
        <v>843400.87</v>
      </c>
      <c r="O284" s="8">
        <v>-17.71</v>
      </c>
      <c r="P284" s="8" t="str">
        <f>IF(O284&lt;0,"Below",IF(O284&gt;0,"Above","Equals"))</f>
        <v>Below</v>
      </c>
      <c r="Q284" s="4" t="s">
        <v>569</v>
      </c>
      <c r="R284" s="5"/>
      <c r="S284" s="6"/>
      <c r="U284" s="12">
        <v>3</v>
      </c>
      <c r="V284" s="4">
        <v>1355</v>
      </c>
      <c r="W284" s="14">
        <v>45922</v>
      </c>
      <c r="X284" s="4" t="s">
        <v>50</v>
      </c>
      <c r="Y284" s="13">
        <v>191</v>
      </c>
      <c r="Z284" s="26">
        <v>45943</v>
      </c>
      <c r="AA284" s="4" t="s">
        <v>299</v>
      </c>
      <c r="AB284" s="4" t="s">
        <v>312</v>
      </c>
      <c r="AC284" s="33">
        <v>44527007513</v>
      </c>
      <c r="AD284" s="9">
        <v>43000</v>
      </c>
      <c r="AE284" s="5">
        <v>45934</v>
      </c>
      <c r="AF284" s="4" t="s">
        <v>299</v>
      </c>
      <c r="AG284" s="4" t="s">
        <v>312</v>
      </c>
      <c r="AH284" s="33">
        <v>44527009054</v>
      </c>
      <c r="AI284" s="9">
        <v>16000</v>
      </c>
      <c r="AJ284" s="5">
        <v>45934</v>
      </c>
      <c r="AK284" s="4">
        <v>1475</v>
      </c>
      <c r="AL284" s="14">
        <v>45943</v>
      </c>
    </row>
    <row r="285" spans="1:38" ht="58">
      <c r="A285" s="4" t="s">
        <v>50</v>
      </c>
      <c r="B285" s="4">
        <v>15</v>
      </c>
      <c r="C285" s="4">
        <v>5</v>
      </c>
      <c r="D285" s="6" t="s">
        <v>668</v>
      </c>
      <c r="E285" s="4" t="s">
        <v>2</v>
      </c>
      <c r="F285" s="4" t="str" cm="1">
        <f t="array" ref="F285">_xlfn.IFS(
  E285="Mahuva", "Mahuva",
  E285="Jesar", "Mahuva",
  E285="Palitana", "Palitana",
  E285="Gariyadhar", "Palitana",
  E285="Talaja", "Talaja",
  E285="Vallabhipur", "Vallabhipur",
  E285="Umrala", "Vallabhipur",
  E285="Shihor", "Shihor",
  E285="Ghogha", "Bhavnagar",
  E285="Bhavnagar", "Bhavnagar"
)</f>
        <v>Palitana</v>
      </c>
      <c r="G285" s="4" t="s">
        <v>19</v>
      </c>
      <c r="H285" s="4">
        <v>213149</v>
      </c>
      <c r="I285" s="4">
        <v>1</v>
      </c>
      <c r="J285" s="5">
        <v>45875</v>
      </c>
      <c r="K285" s="5">
        <v>45887</v>
      </c>
      <c r="L285" s="5">
        <v>45888</v>
      </c>
      <c r="M285" s="7">
        <v>1257594.95</v>
      </c>
      <c r="N285" s="7">
        <v>990859.06</v>
      </c>
      <c r="O285" s="8">
        <v>-21.21</v>
      </c>
      <c r="P285" s="8" t="str">
        <f>IF(O285&lt;0,"Below",IF(O285&gt;0,"Above","Equals"))</f>
        <v>Below</v>
      </c>
      <c r="Q285" s="4" t="s">
        <v>229</v>
      </c>
      <c r="R285" s="5"/>
      <c r="S285" s="6"/>
      <c r="U285" s="12">
        <v>1</v>
      </c>
      <c r="V285" s="4">
        <v>1335</v>
      </c>
      <c r="W285" s="14">
        <v>45915</v>
      </c>
      <c r="X285" s="4" t="s">
        <v>50</v>
      </c>
      <c r="Y285" s="13">
        <v>185</v>
      </c>
      <c r="Z285" s="26">
        <v>45943</v>
      </c>
      <c r="AA285" s="4" t="s">
        <v>299</v>
      </c>
      <c r="AB285" s="4" t="s">
        <v>725</v>
      </c>
      <c r="AC285" s="33" t="s">
        <v>727</v>
      </c>
      <c r="AD285" s="9">
        <v>50000</v>
      </c>
      <c r="AE285" s="5">
        <v>45936</v>
      </c>
      <c r="AF285" s="4" t="s">
        <v>299</v>
      </c>
      <c r="AG285" s="4" t="s">
        <v>725</v>
      </c>
      <c r="AH285" s="33" t="s">
        <v>728</v>
      </c>
      <c r="AI285" s="9">
        <v>43000</v>
      </c>
      <c r="AJ285" s="5">
        <v>45936</v>
      </c>
      <c r="AK285" s="4">
        <v>1469</v>
      </c>
      <c r="AL285" s="14">
        <v>45943</v>
      </c>
    </row>
    <row r="286" spans="1:38" ht="43.5">
      <c r="A286" s="4" t="str">
        <f>A285</f>
        <v>2025-26</v>
      </c>
      <c r="B286" s="4">
        <f>B285</f>
        <v>15</v>
      </c>
      <c r="C286" s="4">
        <f>C285+1</f>
        <v>6</v>
      </c>
      <c r="D286" s="6" t="s">
        <v>1152</v>
      </c>
      <c r="E286" s="4" t="s">
        <v>11</v>
      </c>
      <c r="F286" s="4" t="str" cm="1">
        <f t="array" ref="F286">_xlfn.IFS(
  E286="Mahuva", "Mahuva",
  E286="Jesar", "Mahuva",
  E286="Palitana", "Palitana",
  E286="Gariyadhar", "Palitana",
  E286="Talaja", "Talaja",
  E286="Vallabhipur", "Vallabhipur",
  E286="Umrala", "Vallabhipur",
  E286="Shihor", "Shihor",
  E286="Ghogha", "Bhavnagar",
  E286="Bhavnagar", "Bhavnagar"
)</f>
        <v>Shihor</v>
      </c>
      <c r="G286" s="4" t="s">
        <v>19</v>
      </c>
      <c r="H286" s="4">
        <v>293766</v>
      </c>
      <c r="I286" s="4"/>
      <c r="M286" s="7">
        <v>23126415.010000002</v>
      </c>
      <c r="N286" s="7">
        <v>17874406.16</v>
      </c>
      <c r="O286" s="8">
        <v>-22.71</v>
      </c>
      <c r="P286" s="8" t="str">
        <f>IF(O286&lt;0,"Below",IF(O286&gt;0,"Above","Equals"))</f>
        <v>Below</v>
      </c>
      <c r="Q286" s="4" t="s">
        <v>1138</v>
      </c>
      <c r="R286" s="5">
        <v>46155</v>
      </c>
      <c r="S286" s="15"/>
      <c r="U286" s="12"/>
      <c r="V286" s="4"/>
      <c r="X286" s="4"/>
      <c r="Y286" s="13"/>
      <c r="Z286" s="13"/>
      <c r="AA286" s="4"/>
      <c r="AB286" s="4"/>
      <c r="AD286" s="9"/>
      <c r="AE286" s="5"/>
      <c r="AF286" s="11"/>
      <c r="AG286" s="11"/>
      <c r="AI286" s="9"/>
      <c r="AJ286" s="11"/>
      <c r="AK286" s="4"/>
    </row>
    <row r="287" spans="1:38" ht="43.5">
      <c r="A287" s="4" t="s">
        <v>50</v>
      </c>
      <c r="B287" s="4">
        <v>15</v>
      </c>
      <c r="C287" s="4">
        <v>6</v>
      </c>
      <c r="D287" s="6" t="s">
        <v>661</v>
      </c>
      <c r="E287" s="4" t="s">
        <v>11</v>
      </c>
      <c r="F287" s="4" t="str" cm="1">
        <f t="array" ref="F287">_xlfn.IFS(
  E287="Mahuva", "Mahuva",
  E287="Jesar", "Mahuva",
  E287="Palitana", "Palitana",
  E287="Gariyadhar", "Palitana",
  E287="Talaja", "Talaja",
  E287="Vallabhipur", "Vallabhipur",
  E287="Umrala", "Vallabhipur",
  E287="Shihor", "Shihor",
  E287="Ghogha", "Bhavnagar",
  E287="Bhavnagar", "Bhavnagar"
)</f>
        <v>Shihor</v>
      </c>
      <c r="G287" s="4" t="s">
        <v>669</v>
      </c>
      <c r="H287" s="4">
        <v>213305</v>
      </c>
      <c r="I287" s="4"/>
      <c r="J287" s="5">
        <v>45875</v>
      </c>
      <c r="K287" s="5">
        <v>45887</v>
      </c>
      <c r="L287" s="5">
        <v>45888</v>
      </c>
      <c r="M287" s="7">
        <v>202031.85</v>
      </c>
      <c r="N287" s="7">
        <v>183101.47</v>
      </c>
      <c r="O287" s="8">
        <v>-9.3699999999999992</v>
      </c>
      <c r="P287" s="8" t="str">
        <f>IF(O287&lt;0,"Below",IF(O287&gt;0,"Above","Equals"))</f>
        <v>Below</v>
      </c>
      <c r="Q287" s="4" t="s">
        <v>119</v>
      </c>
      <c r="R287" s="5"/>
      <c r="S287" s="6"/>
      <c r="U287" s="12">
        <v>1</v>
      </c>
      <c r="V287" s="4">
        <v>1336</v>
      </c>
      <c r="W287" s="14">
        <v>45915</v>
      </c>
      <c r="X287" s="4" t="s">
        <v>50</v>
      </c>
      <c r="Y287" s="13">
        <v>221</v>
      </c>
      <c r="Z287" s="26">
        <v>45993</v>
      </c>
      <c r="AA287" s="4" t="s">
        <v>299</v>
      </c>
      <c r="AB287" s="4" t="s">
        <v>725</v>
      </c>
      <c r="AC287" s="33" t="s">
        <v>807</v>
      </c>
      <c r="AD287" s="9">
        <v>10000</v>
      </c>
      <c r="AE287" s="5">
        <v>45959</v>
      </c>
      <c r="AF287" s="11"/>
      <c r="AG287" s="11"/>
      <c r="AI287" s="9"/>
      <c r="AJ287" s="11"/>
      <c r="AK287" s="4">
        <v>1593</v>
      </c>
      <c r="AL287" s="14">
        <v>45993</v>
      </c>
    </row>
    <row r="288" spans="1:38" ht="29">
      <c r="A288" s="4" t="str">
        <f>A287</f>
        <v>2025-26</v>
      </c>
      <c r="B288" s="4">
        <f>B287</f>
        <v>15</v>
      </c>
      <c r="C288" s="4">
        <f>C287+1</f>
        <v>7</v>
      </c>
      <c r="D288" s="6" t="s">
        <v>1200</v>
      </c>
      <c r="E288" s="4" t="s">
        <v>228</v>
      </c>
      <c r="F288" s="4" t="str" cm="1">
        <f t="array" ref="F288">_xlfn.IFS(
  E288="Mahuva", "Mahuva",
  E288="Jesar", "Mahuva",
  E288="Palitana", "Palitana",
  E288="Gariyadhar", "Palitana",
  E288="Talaja", "Talaja",
  E288="Vallabhipur", "Vallabhipur",
  E288="Umrala", "Vallabhipur",
  E288="Shihor", "Shihor",
  E288="Ghogha", "Bhavnagar",
  E288="Bhavnagar", "Bhavnagar"
)</f>
        <v>Mahuva</v>
      </c>
      <c r="G288" s="4" t="s">
        <v>206</v>
      </c>
      <c r="H288" s="4">
        <v>305519</v>
      </c>
      <c r="I288" s="4">
        <v>1</v>
      </c>
      <c r="M288" s="7">
        <v>1254948.0900000001</v>
      </c>
      <c r="N288" s="7">
        <v>974467.19</v>
      </c>
      <c r="O288" s="8">
        <v>-22.35</v>
      </c>
      <c r="P288" s="8" t="str">
        <f>IF(O288&lt;0,"Below",IF(O288&gt;0,"Above","Equals"))</f>
        <v>Below</v>
      </c>
      <c r="Q288" s="4" t="s">
        <v>1208</v>
      </c>
      <c r="R288" s="5"/>
      <c r="S288" s="15"/>
      <c r="U288" s="12">
        <v>3</v>
      </c>
      <c r="V288" s="4">
        <v>666</v>
      </c>
      <c r="W288" s="14">
        <v>46183</v>
      </c>
      <c r="X288" s="4" t="s">
        <v>1126</v>
      </c>
      <c r="Y288" s="13">
        <v>31</v>
      </c>
      <c r="Z288" s="26">
        <v>46188</v>
      </c>
      <c r="AA288" s="4" t="s">
        <v>299</v>
      </c>
      <c r="AB288" s="4" t="s">
        <v>312</v>
      </c>
      <c r="AC288" s="33" t="s">
        <v>1218</v>
      </c>
      <c r="AD288" s="9">
        <v>49000</v>
      </c>
      <c r="AE288" s="5">
        <v>46185</v>
      </c>
      <c r="AF288" s="4" t="s">
        <v>299</v>
      </c>
      <c r="AG288" s="4" t="s">
        <v>312</v>
      </c>
      <c r="AH288" s="33" t="s">
        <v>1219</v>
      </c>
      <c r="AI288" s="9">
        <v>47000</v>
      </c>
      <c r="AJ288" s="5">
        <v>46185</v>
      </c>
      <c r="AK288" s="4">
        <v>678</v>
      </c>
      <c r="AL288" s="26">
        <v>46188</v>
      </c>
    </row>
    <row r="289" spans="1:38" ht="43.5">
      <c r="A289" s="4" t="s">
        <v>50</v>
      </c>
      <c r="B289" s="4">
        <v>15</v>
      </c>
      <c r="C289" s="4">
        <v>7</v>
      </c>
      <c r="D289" s="6" t="s">
        <v>662</v>
      </c>
      <c r="E289" s="4" t="s">
        <v>0</v>
      </c>
      <c r="F289" s="4" t="str" cm="1">
        <f t="array" ref="F289">_xlfn.IFS(
  E289="Mahuva", "Mahuva",
  E289="Jesar", "Mahuva",
  E289="Palitana", "Palitana",
  E289="Gariyadhar", "Palitana",
  E289="Talaja", "Talaja",
  E289="Vallabhipur", "Vallabhipur",
  E289="Umrala", "Vallabhipur",
  E289="Shihor", "Shihor",
  E289="Ghogha", "Bhavnagar",
  E289="Bhavnagar", "Bhavnagar"
)</f>
        <v>Bhavnagar</v>
      </c>
      <c r="G289" s="4" t="s">
        <v>19</v>
      </c>
      <c r="H289" s="4">
        <v>213308</v>
      </c>
      <c r="I289" s="4">
        <v>1</v>
      </c>
      <c r="J289" s="5">
        <v>45875</v>
      </c>
      <c r="K289" s="5">
        <v>45887</v>
      </c>
      <c r="L289" s="5">
        <v>45888</v>
      </c>
      <c r="M289" s="7">
        <v>2473582.67</v>
      </c>
      <c r="N289" s="7">
        <v>1709740.34</v>
      </c>
      <c r="O289" s="8">
        <v>-30.88</v>
      </c>
      <c r="P289" s="8" t="str">
        <f>IF(O289&lt;0,"Below",IF(O289&gt;0,"Above","Equals"))</f>
        <v>Below</v>
      </c>
      <c r="Q289" s="4" t="s">
        <v>341</v>
      </c>
      <c r="R289" s="5"/>
      <c r="S289" s="6"/>
      <c r="U289" s="12">
        <v>1</v>
      </c>
      <c r="V289" s="4">
        <v>1337</v>
      </c>
      <c r="W289" s="14">
        <v>45915</v>
      </c>
      <c r="X289" s="4" t="s">
        <v>50</v>
      </c>
      <c r="Y289" s="13">
        <v>224</v>
      </c>
      <c r="Z289" s="26">
        <v>46001</v>
      </c>
      <c r="AA289" s="4" t="s">
        <v>299</v>
      </c>
      <c r="AB289" s="4" t="s">
        <v>632</v>
      </c>
      <c r="AC289" s="33">
        <v>5896381668</v>
      </c>
      <c r="AD289" s="9">
        <v>86000</v>
      </c>
      <c r="AE289" s="5">
        <v>45967</v>
      </c>
      <c r="AF289" s="4" t="s">
        <v>299</v>
      </c>
      <c r="AG289" s="4" t="s">
        <v>632</v>
      </c>
      <c r="AH289" s="33">
        <v>5913030045</v>
      </c>
      <c r="AI289" s="9">
        <v>155000</v>
      </c>
      <c r="AJ289" s="5">
        <v>46001</v>
      </c>
      <c r="AK289" s="4">
        <v>1688</v>
      </c>
      <c r="AL289" s="14">
        <v>46001</v>
      </c>
    </row>
    <row r="290" spans="1:38" ht="29">
      <c r="A290" s="4" t="s">
        <v>50</v>
      </c>
      <c r="B290" s="4">
        <v>15</v>
      </c>
      <c r="C290" s="4">
        <v>8</v>
      </c>
      <c r="D290" s="6" t="s">
        <v>663</v>
      </c>
      <c r="E290" s="4" t="s">
        <v>11</v>
      </c>
      <c r="F290" s="4" t="str" cm="1">
        <f t="array" ref="F290">_xlfn.IFS(
  E290="Mahuva", "Mahuva",
  E290="Jesar", "Mahuva",
  E290="Palitana", "Palitana",
  E290="Gariyadhar", "Palitana",
  E290="Talaja", "Talaja",
  E290="Vallabhipur", "Vallabhipur",
  E290="Umrala", "Vallabhipur",
  E290="Shihor", "Shihor",
  E290="Ghogha", "Bhavnagar",
  E290="Bhavnagar", "Bhavnagar"
)</f>
        <v>Shihor</v>
      </c>
      <c r="G290" s="4" t="s">
        <v>206</v>
      </c>
      <c r="H290" s="4">
        <v>213311</v>
      </c>
      <c r="I290" s="4"/>
      <c r="J290" s="5">
        <v>45875</v>
      </c>
      <c r="K290" s="5">
        <v>45887</v>
      </c>
      <c r="L290" s="5">
        <v>45888</v>
      </c>
      <c r="M290" s="7">
        <v>836769.5</v>
      </c>
      <c r="N290" s="7">
        <v>768740.14</v>
      </c>
      <c r="O290" s="8">
        <v>-8.1300000000000008</v>
      </c>
      <c r="P290" s="8" t="str">
        <f>IF(O290&lt;0,"Below",IF(O290&gt;0,"Above","Equals"))</f>
        <v>Below</v>
      </c>
      <c r="Q290" s="4" t="s">
        <v>568</v>
      </c>
      <c r="R290" s="5"/>
      <c r="S290" s="6"/>
      <c r="U290" s="12">
        <v>2</v>
      </c>
      <c r="V290" s="4">
        <v>1417</v>
      </c>
      <c r="W290" s="14">
        <v>45933</v>
      </c>
      <c r="X290" s="4" t="s">
        <v>50</v>
      </c>
      <c r="Y290" s="13">
        <v>195</v>
      </c>
      <c r="Z290" s="26">
        <v>45964</v>
      </c>
      <c r="AA290" s="4" t="s">
        <v>299</v>
      </c>
      <c r="AB290" s="4" t="s">
        <v>312</v>
      </c>
      <c r="AC290" s="33">
        <v>44564950237</v>
      </c>
      <c r="AD290" s="9">
        <v>39000</v>
      </c>
      <c r="AE290" s="5">
        <v>45947</v>
      </c>
      <c r="AF290" s="11"/>
      <c r="AG290" s="11"/>
      <c r="AI290" s="9"/>
      <c r="AJ290" s="11"/>
      <c r="AK290" s="4">
        <v>1497</v>
      </c>
      <c r="AL290" s="14">
        <v>45964</v>
      </c>
    </row>
    <row r="291" spans="1:38" ht="58">
      <c r="A291" s="4" t="str">
        <f>A290</f>
        <v>2025-26</v>
      </c>
      <c r="B291" s="4">
        <f>B290</f>
        <v>15</v>
      </c>
      <c r="C291" s="4">
        <f>C290+1</f>
        <v>9</v>
      </c>
      <c r="D291" s="6" t="s">
        <v>1202</v>
      </c>
      <c r="E291" s="4" t="s">
        <v>228</v>
      </c>
      <c r="F291" s="4" t="str" cm="1">
        <f t="array" ref="F291">_xlfn.IFS(
  E291="Mahuva", "Mahuva",
  E291="Jesar", "Mahuva",
  E291="Palitana", "Palitana",
  E291="Gariyadhar", "Palitana",
  E291="Talaja", "Talaja",
  E291="Vallabhipur", "Vallabhipur",
  E291="Umrala", "Vallabhipur",
  E291="Shihor", "Shihor",
  E291="Ghogha", "Bhavnagar",
  E291="Bhavnagar", "Bhavnagar"
)</f>
        <v>Mahuva</v>
      </c>
      <c r="G291" s="4" t="s">
        <v>206</v>
      </c>
      <c r="H291" s="4">
        <v>305534</v>
      </c>
      <c r="I291" s="4">
        <v>1</v>
      </c>
      <c r="M291" s="7">
        <v>839723.17</v>
      </c>
      <c r="N291" s="7">
        <v>644823.42000000004</v>
      </c>
      <c r="O291" s="8">
        <v>-23.21</v>
      </c>
      <c r="P291" s="8" t="str">
        <f>IF(O291&lt;0,"Below",IF(O291&gt;0,"Above","Equals"))</f>
        <v>Below</v>
      </c>
      <c r="Q291" s="4" t="s">
        <v>779</v>
      </c>
      <c r="R291" s="5"/>
      <c r="S291" s="15"/>
      <c r="U291" s="12">
        <v>3</v>
      </c>
      <c r="V291" s="4">
        <v>668</v>
      </c>
      <c r="W291" s="14">
        <v>46188</v>
      </c>
      <c r="X291" s="4"/>
      <c r="Y291" s="13"/>
      <c r="Z291" s="13"/>
      <c r="AA291" s="4"/>
      <c r="AB291" s="4"/>
      <c r="AD291" s="9"/>
      <c r="AE291" s="5"/>
      <c r="AF291" s="11"/>
      <c r="AG291" s="11"/>
      <c r="AI291" s="9"/>
      <c r="AJ291" s="11"/>
      <c r="AK291" s="4"/>
    </row>
    <row r="292" spans="1:38" ht="58">
      <c r="A292" s="4" t="str">
        <f>A291</f>
        <v>2025-26</v>
      </c>
      <c r="B292" s="4">
        <f>B291</f>
        <v>15</v>
      </c>
      <c r="C292" s="4">
        <f>C291+1</f>
        <v>10</v>
      </c>
      <c r="D292" s="6" t="s">
        <v>1203</v>
      </c>
      <c r="E292" s="4" t="s">
        <v>228</v>
      </c>
      <c r="F292" s="4" t="str" cm="1">
        <f t="array" ref="F292">_xlfn.IFS(
  E292="Mahuva", "Mahuva",
  E292="Jesar", "Mahuva",
  E292="Palitana", "Palitana",
  E292="Gariyadhar", "Palitana",
  E292="Talaja", "Talaja",
  E292="Vallabhipur", "Vallabhipur",
  E292="Umrala", "Vallabhipur",
  E292="Shihor", "Shihor",
  E292="Ghogha", "Bhavnagar",
  E292="Bhavnagar", "Bhavnagar"
)</f>
        <v>Mahuva</v>
      </c>
      <c r="G292" s="4" t="s">
        <v>206</v>
      </c>
      <c r="H292" s="4">
        <v>305544</v>
      </c>
      <c r="I292" s="4">
        <v>1</v>
      </c>
      <c r="M292" s="7">
        <v>836911.88</v>
      </c>
      <c r="N292" s="7">
        <v>656975.82999999996</v>
      </c>
      <c r="O292" s="8">
        <v>-21.5</v>
      </c>
      <c r="P292" s="8" t="str">
        <f>IF(O292&lt;0,"Below",IF(O292&gt;0,"Above","Equals"))</f>
        <v>Below</v>
      </c>
      <c r="Q292" s="4" t="s">
        <v>779</v>
      </c>
      <c r="R292" s="5"/>
      <c r="S292" s="15"/>
      <c r="U292" s="12">
        <v>3</v>
      </c>
      <c r="V292" s="4">
        <v>669</v>
      </c>
      <c r="W292" s="14">
        <v>46188</v>
      </c>
      <c r="X292" s="4"/>
      <c r="Y292" s="13"/>
      <c r="Z292" s="13"/>
      <c r="AA292" s="4"/>
      <c r="AB292" s="4"/>
      <c r="AD292" s="9"/>
      <c r="AE292" s="5"/>
      <c r="AF292" s="11"/>
      <c r="AG292" s="11"/>
      <c r="AI292" s="9"/>
      <c r="AJ292" s="11"/>
      <c r="AK292" s="4"/>
    </row>
    <row r="293" spans="1:38" ht="43.5">
      <c r="A293" s="4" t="s">
        <v>50</v>
      </c>
      <c r="B293" s="4">
        <v>15</v>
      </c>
      <c r="C293" s="4">
        <v>9</v>
      </c>
      <c r="D293" s="6" t="s">
        <v>664</v>
      </c>
      <c r="E293" s="4" t="s">
        <v>9</v>
      </c>
      <c r="F293" s="4" t="str" cm="1">
        <f t="array" ref="F293">_xlfn.IFS(
  E293="Mahuva", "Mahuva",
  E293="Jesar", "Mahuva",
  E293="Palitana", "Palitana",
  E293="Gariyadhar", "Palitana",
  E293="Talaja", "Talaja",
  E293="Vallabhipur", "Vallabhipur",
  E293="Umrala", "Vallabhipur",
  E293="Shihor", "Shihor",
  E293="Ghogha", "Bhavnagar",
  E293="Bhavnagar", "Bhavnagar"
)</f>
        <v>Vallabhipur</v>
      </c>
      <c r="G293" s="4" t="s">
        <v>206</v>
      </c>
      <c r="H293" s="4">
        <v>213314</v>
      </c>
      <c r="I293" s="4"/>
      <c r="J293" s="5">
        <v>45875</v>
      </c>
      <c r="K293" s="5">
        <v>45887</v>
      </c>
      <c r="L293" s="5">
        <v>45888</v>
      </c>
      <c r="M293" s="7">
        <v>684906.78</v>
      </c>
      <c r="N293" s="7">
        <v>659085.79</v>
      </c>
      <c r="O293" s="8">
        <v>-3.77</v>
      </c>
      <c r="P293" s="8" t="str">
        <f>IF(O293&lt;0,"Below",IF(O293&gt;0,"Above","Equals"))</f>
        <v>Below</v>
      </c>
      <c r="Q293" s="4" t="s">
        <v>118</v>
      </c>
      <c r="R293" s="5"/>
      <c r="S293" s="6"/>
      <c r="U293" s="12">
        <v>3</v>
      </c>
      <c r="V293" s="4">
        <v>1334</v>
      </c>
      <c r="W293" s="14">
        <v>45915</v>
      </c>
      <c r="X293" s="4" t="s">
        <v>50</v>
      </c>
      <c r="Y293" s="13">
        <v>303</v>
      </c>
      <c r="Z293" s="26">
        <v>46056</v>
      </c>
      <c r="AA293" s="4" t="s">
        <v>299</v>
      </c>
      <c r="AB293" s="4" t="s">
        <v>312</v>
      </c>
      <c r="AC293" s="33">
        <v>44823180081</v>
      </c>
      <c r="AD293" s="9">
        <v>33000</v>
      </c>
      <c r="AE293" s="5">
        <v>46034</v>
      </c>
      <c r="AF293" s="11"/>
      <c r="AG293" s="11"/>
      <c r="AI293" s="9"/>
      <c r="AJ293" s="11"/>
      <c r="AK293" s="4">
        <v>126</v>
      </c>
      <c r="AL293" s="14">
        <v>46056</v>
      </c>
    </row>
    <row r="294" spans="1:38" ht="58">
      <c r="A294" s="4" t="s">
        <v>50</v>
      </c>
      <c r="B294" s="4">
        <v>15</v>
      </c>
      <c r="C294" s="4">
        <v>10</v>
      </c>
      <c r="D294" s="6" t="s">
        <v>670</v>
      </c>
      <c r="E294" s="4" t="s">
        <v>3</v>
      </c>
      <c r="F294" s="4" t="str" cm="1">
        <f t="array" ref="F294">_xlfn.IFS(
  E294="Mahuva", "Mahuva",
  E294="Jesar", "Mahuva",
  E294="Palitana", "Palitana",
  E294="Gariyadhar", "Palitana",
  E294="Talaja", "Talaja",
  E294="Vallabhipur", "Vallabhipur",
  E294="Umrala", "Vallabhipur",
  E294="Shihor", "Shihor",
  E294="Ghogha", "Bhavnagar",
  E294="Bhavnagar", "Bhavnagar"
)</f>
        <v>Talaja</v>
      </c>
      <c r="G294" s="4" t="s">
        <v>19</v>
      </c>
      <c r="H294" s="4">
        <v>213315</v>
      </c>
      <c r="I294" s="4">
        <v>1</v>
      </c>
      <c r="J294" s="5">
        <v>45875</v>
      </c>
      <c r="K294" s="5">
        <v>45887</v>
      </c>
      <c r="L294" s="5">
        <v>45888</v>
      </c>
      <c r="M294" s="7">
        <v>1253372.56</v>
      </c>
      <c r="N294" s="7">
        <v>866331.11</v>
      </c>
      <c r="O294" s="8">
        <v>-30.88</v>
      </c>
      <c r="P294" s="8" t="str">
        <f>IF(O294&lt;0,"Below",IF(O294&gt;0,"Above","Equals"))</f>
        <v>Below</v>
      </c>
      <c r="Q294" s="4" t="s">
        <v>341</v>
      </c>
      <c r="R294" s="5"/>
      <c r="S294" s="6"/>
      <c r="U294" s="12">
        <v>1</v>
      </c>
      <c r="V294" s="4">
        <v>1339</v>
      </c>
      <c r="W294" s="14">
        <v>45915</v>
      </c>
      <c r="X294" s="4" t="s">
        <v>1126</v>
      </c>
      <c r="Y294" s="13">
        <v>15</v>
      </c>
      <c r="Z294" s="14">
        <v>46160</v>
      </c>
      <c r="AA294" s="4" t="s">
        <v>299</v>
      </c>
      <c r="AB294" s="4" t="s">
        <v>312</v>
      </c>
      <c r="AC294" s="33" t="s">
        <v>1162</v>
      </c>
      <c r="AD294" s="9">
        <v>44000</v>
      </c>
      <c r="AE294" s="5">
        <v>45967</v>
      </c>
      <c r="AF294" s="4" t="s">
        <v>299</v>
      </c>
      <c r="AG294" s="4" t="s">
        <v>312</v>
      </c>
      <c r="AH294" s="33" t="s">
        <v>1163</v>
      </c>
      <c r="AI294" s="9">
        <v>79000</v>
      </c>
      <c r="AJ294" s="5">
        <v>46125</v>
      </c>
      <c r="AK294" s="4">
        <v>571</v>
      </c>
      <c r="AL294" s="14">
        <v>46160</v>
      </c>
    </row>
    <row r="295" spans="1:38" ht="43.5">
      <c r="A295" s="4" t="str">
        <f>A294</f>
        <v>2025-26</v>
      </c>
      <c r="B295" s="4">
        <f>B294</f>
        <v>15</v>
      </c>
      <c r="C295" s="4">
        <f>C294+1</f>
        <v>11</v>
      </c>
      <c r="D295" s="6" t="s">
        <v>1201</v>
      </c>
      <c r="E295" s="4" t="s">
        <v>10</v>
      </c>
      <c r="F295" s="4" t="str" cm="1">
        <f t="array" ref="F295">_xlfn.IFS(
  E295="Mahuva", "Mahuva",
  E295="Jesar", "Mahuva",
  E295="Palitana", "Palitana",
  E295="Gariyadhar", "Palitana",
  E295="Talaja", "Talaja",
  E295="Vallabhipur", "Vallabhipur",
  E295="Umrala", "Vallabhipur",
  E295="Shihor", "Shihor",
  E295="Ghogha", "Bhavnagar",
  E295="Bhavnagar", "Bhavnagar"
)</f>
        <v>Mahuva</v>
      </c>
      <c r="G295" s="4" t="s">
        <v>206</v>
      </c>
      <c r="H295" s="4">
        <v>305526</v>
      </c>
      <c r="I295" s="4">
        <v>1</v>
      </c>
      <c r="M295" s="7">
        <v>1254948.0900000001</v>
      </c>
      <c r="N295" s="7">
        <v>1051646.5</v>
      </c>
      <c r="O295" s="8">
        <v>-16.2</v>
      </c>
      <c r="P295" s="8" t="str">
        <f>IF(O295&lt;0,"Below",IF(O295&gt;0,"Above","Equals"))</f>
        <v>Below</v>
      </c>
      <c r="Q295" s="4" t="s">
        <v>1209</v>
      </c>
      <c r="R295" s="5"/>
      <c r="S295" s="15"/>
      <c r="U295" s="12"/>
      <c r="V295" s="4"/>
      <c r="X295" s="4"/>
      <c r="Y295" s="13"/>
      <c r="Z295" s="13"/>
      <c r="AA295" s="4"/>
      <c r="AB295" s="4"/>
      <c r="AD295" s="9"/>
      <c r="AE295" s="5"/>
      <c r="AF295" s="11"/>
      <c r="AG295" s="11"/>
      <c r="AI295" s="9"/>
      <c r="AJ295" s="11"/>
      <c r="AK295" s="4"/>
    </row>
    <row r="296" spans="1:38" ht="43.5">
      <c r="A296" s="4" t="s">
        <v>50</v>
      </c>
      <c r="B296" s="4">
        <v>15</v>
      </c>
      <c r="C296" s="4">
        <v>11</v>
      </c>
      <c r="D296" s="6" t="s">
        <v>665</v>
      </c>
      <c r="E296" s="4" t="s">
        <v>11</v>
      </c>
      <c r="F296" s="4" t="str" cm="1">
        <f t="array" ref="F296">_xlfn.IFS(
  E296="Mahuva", "Mahuva",
  E296="Jesar", "Mahuva",
  E296="Palitana", "Palitana",
  E296="Gariyadhar", "Palitana",
  E296="Talaja", "Talaja",
  E296="Vallabhipur", "Vallabhipur",
  E296="Umrala", "Vallabhipur",
  E296="Shihor", "Shihor",
  E296="Ghogha", "Bhavnagar",
  E296="Bhavnagar", "Bhavnagar"
)</f>
        <v>Shihor</v>
      </c>
      <c r="G296" s="4" t="s">
        <v>19</v>
      </c>
      <c r="H296" s="4">
        <v>213317</v>
      </c>
      <c r="I296" s="4">
        <v>1</v>
      </c>
      <c r="J296" s="5">
        <v>45875</v>
      </c>
      <c r="K296" s="5">
        <v>45887</v>
      </c>
      <c r="L296" s="5">
        <v>45888</v>
      </c>
      <c r="M296" s="7">
        <v>669356.71</v>
      </c>
      <c r="N296" s="7">
        <v>476046.49</v>
      </c>
      <c r="O296" s="8">
        <v>-28.88</v>
      </c>
      <c r="P296" s="8" t="str">
        <f>IF(O296&lt;0,"Below",IF(O296&gt;0,"Above","Equals"))</f>
        <v>Below</v>
      </c>
      <c r="Q296" s="4" t="s">
        <v>568</v>
      </c>
      <c r="R296" s="5"/>
      <c r="S296" s="6"/>
      <c r="U296" s="12">
        <v>1</v>
      </c>
      <c r="V296" s="4">
        <v>1356</v>
      </c>
      <c r="W296" s="14">
        <v>45922</v>
      </c>
      <c r="X296" s="4" t="s">
        <v>50</v>
      </c>
      <c r="Y296" s="13">
        <v>194</v>
      </c>
      <c r="Z296" s="26">
        <v>45964</v>
      </c>
      <c r="AA296" s="4" t="s">
        <v>299</v>
      </c>
      <c r="AB296" s="4" t="s">
        <v>312</v>
      </c>
      <c r="AC296" s="33">
        <v>44537744624</v>
      </c>
      <c r="AD296" s="9">
        <v>24000</v>
      </c>
      <c r="AE296" s="5">
        <v>45938</v>
      </c>
      <c r="AF296" s="4" t="s">
        <v>299</v>
      </c>
      <c r="AG296" s="4" t="s">
        <v>312</v>
      </c>
      <c r="AH296" s="33">
        <v>44564969511</v>
      </c>
      <c r="AI296" s="9">
        <v>38000</v>
      </c>
      <c r="AJ296" s="5">
        <v>45947</v>
      </c>
      <c r="AK296" s="4">
        <v>1496</v>
      </c>
      <c r="AL296" s="14">
        <v>45964</v>
      </c>
    </row>
    <row r="297" spans="1:38" ht="29">
      <c r="A297" s="4" t="s">
        <v>50</v>
      </c>
      <c r="B297" s="4">
        <v>15</v>
      </c>
      <c r="C297" s="4">
        <v>12</v>
      </c>
      <c r="D297" s="6" t="s">
        <v>619</v>
      </c>
      <c r="E297" s="4" t="s">
        <v>10</v>
      </c>
      <c r="F297" s="4" t="str" cm="1">
        <f t="array" ref="F297">_xlfn.IFS(
  E297="Mahuva", "Mahuva",
  E297="Jesar", "Mahuva",
  E297="Palitana", "Palitana",
  E297="Gariyadhar", "Palitana",
  E297="Talaja", "Talaja",
  E297="Vallabhipur", "Vallabhipur",
  E297="Umrala", "Vallabhipur",
  E297="Shihor", "Shihor",
  E297="Ghogha", "Bhavnagar",
  E297="Bhavnagar", "Bhavnagar"
)</f>
        <v>Mahuva</v>
      </c>
      <c r="G297" s="4" t="s">
        <v>206</v>
      </c>
      <c r="H297" s="4">
        <v>213371</v>
      </c>
      <c r="I297" s="4"/>
      <c r="J297" s="5">
        <v>45875</v>
      </c>
      <c r="K297" s="5">
        <v>45887</v>
      </c>
      <c r="L297" s="5">
        <v>45888</v>
      </c>
      <c r="O297" s="8"/>
      <c r="P297" s="8" t="str">
        <f>IF(O297&lt;0,"Below",IF(O297&gt;0,"Above","Equals"))</f>
        <v>Equals</v>
      </c>
      <c r="R297" s="5"/>
      <c r="S297" s="6"/>
      <c r="U297" s="12"/>
      <c r="V297" s="4"/>
      <c r="X297" s="4"/>
      <c r="Y297" s="13"/>
      <c r="Z297" s="13"/>
      <c r="AA297" s="4"/>
      <c r="AB297" s="4"/>
      <c r="AD297" s="9"/>
      <c r="AE297" s="5"/>
      <c r="AF297" s="11"/>
      <c r="AG297" s="11"/>
      <c r="AI297" s="9"/>
      <c r="AJ297" s="11"/>
      <c r="AK297" s="4"/>
    </row>
    <row r="298" spans="1:38" ht="58">
      <c r="A298" s="4" t="s">
        <v>50</v>
      </c>
      <c r="B298" s="4">
        <v>15</v>
      </c>
      <c r="C298" s="4">
        <v>13</v>
      </c>
      <c r="D298" s="6" t="s">
        <v>667</v>
      </c>
      <c r="E298" s="4" t="s">
        <v>3</v>
      </c>
      <c r="F298" s="4" t="str" cm="1">
        <f t="array" ref="F298">_xlfn.IFS(
  E298="Mahuva", "Mahuva",
  E298="Jesar", "Mahuva",
  E298="Palitana", "Palitana",
  E298="Gariyadhar", "Palitana",
  E298="Talaja", "Talaja",
  E298="Vallabhipur", "Vallabhipur",
  E298="Umrala", "Vallabhipur",
  E298="Shihor", "Shihor",
  E298="Ghogha", "Bhavnagar",
  E298="Bhavnagar", "Bhavnagar"
)</f>
        <v>Talaja</v>
      </c>
      <c r="G298" s="4" t="s">
        <v>19</v>
      </c>
      <c r="H298" s="4">
        <v>213388</v>
      </c>
      <c r="I298" s="4">
        <v>2</v>
      </c>
      <c r="J298" s="5">
        <v>45875</v>
      </c>
      <c r="K298" s="5">
        <v>45887</v>
      </c>
      <c r="L298" s="5">
        <v>45888</v>
      </c>
      <c r="M298" s="7">
        <v>21756202.609999999</v>
      </c>
      <c r="N298" s="7">
        <v>21031721.059999999</v>
      </c>
      <c r="O298" s="8">
        <v>-3.33</v>
      </c>
      <c r="P298" s="8" t="str">
        <f>IF(O298&lt;0,"Below",IF(O298&gt;0,"Above","Equals"))</f>
        <v>Below</v>
      </c>
      <c r="Q298" s="4" t="s">
        <v>1000</v>
      </c>
      <c r="R298" s="5"/>
      <c r="S298" s="6" t="s">
        <v>754</v>
      </c>
      <c r="T298" s="14">
        <v>45910</v>
      </c>
      <c r="U298" s="12">
        <v>8</v>
      </c>
      <c r="V298" s="4">
        <v>1572</v>
      </c>
      <c r="W298" s="14">
        <v>45981</v>
      </c>
      <c r="X298" s="4" t="s">
        <v>1126</v>
      </c>
      <c r="Y298" s="13">
        <v>5</v>
      </c>
      <c r="Z298" s="26">
        <v>46113</v>
      </c>
      <c r="AA298" s="4" t="s">
        <v>302</v>
      </c>
      <c r="AB298" s="4" t="s">
        <v>944</v>
      </c>
      <c r="AC298" s="33" t="s">
        <v>1129</v>
      </c>
      <c r="AD298" s="9">
        <v>1052000</v>
      </c>
      <c r="AE298" s="5">
        <v>46108</v>
      </c>
      <c r="AF298" s="11"/>
      <c r="AG298" s="11"/>
      <c r="AI298" s="9"/>
      <c r="AJ298" s="11"/>
      <c r="AK298" s="4">
        <v>459</v>
      </c>
      <c r="AL298" s="14">
        <v>46113</v>
      </c>
    </row>
    <row r="299" spans="1:38" ht="43.5">
      <c r="A299" s="4" t="s">
        <v>50</v>
      </c>
      <c r="B299" s="4">
        <v>15</v>
      </c>
      <c r="C299" s="4">
        <v>14</v>
      </c>
      <c r="D299" s="6" t="s">
        <v>666</v>
      </c>
      <c r="E299" s="4" t="s">
        <v>3</v>
      </c>
      <c r="F299" s="4" t="str" cm="1">
        <f t="array" ref="F299">_xlfn.IFS(
  E299="Mahuva", "Mahuva",
  E299="Jesar", "Mahuva",
  E299="Palitana", "Palitana",
  E299="Gariyadhar", "Palitana",
  E299="Talaja", "Talaja",
  E299="Vallabhipur", "Vallabhipur",
  E299="Umrala", "Vallabhipur",
  E299="Shihor", "Shihor",
  E299="Ghogha", "Bhavnagar",
  E299="Bhavnagar", "Bhavnagar"
)</f>
        <v>Talaja</v>
      </c>
      <c r="G299" s="4" t="s">
        <v>19</v>
      </c>
      <c r="H299" s="4">
        <v>213397</v>
      </c>
      <c r="I299" s="4">
        <v>2</v>
      </c>
      <c r="J299" s="5">
        <v>45875</v>
      </c>
      <c r="K299" s="5">
        <v>45887</v>
      </c>
      <c r="L299" s="5">
        <v>45888</v>
      </c>
      <c r="M299" s="7">
        <v>13636075.76</v>
      </c>
      <c r="N299" s="7">
        <v>13181994.439999999</v>
      </c>
      <c r="O299" s="8">
        <v>-3.33</v>
      </c>
      <c r="P299" s="8" t="str">
        <f>IF(O299&lt;0,"Below",IF(O299&gt;0,"Above","Equals"))</f>
        <v>Below</v>
      </c>
      <c r="Q299" s="4" t="s">
        <v>1000</v>
      </c>
      <c r="R299" s="5"/>
      <c r="S299" s="15" t="s">
        <v>710</v>
      </c>
      <c r="T299" s="14">
        <v>45903</v>
      </c>
      <c r="U299" s="12">
        <v>6</v>
      </c>
      <c r="V299" s="4">
        <v>1418</v>
      </c>
      <c r="W299" s="14">
        <v>45933</v>
      </c>
      <c r="X299" s="4" t="s">
        <v>1126</v>
      </c>
      <c r="Y299" s="13">
        <v>6</v>
      </c>
      <c r="Z299" s="26">
        <v>46113</v>
      </c>
      <c r="AA299" s="4" t="s">
        <v>302</v>
      </c>
      <c r="AB299" s="4" t="s">
        <v>944</v>
      </c>
      <c r="AC299" s="33" t="s">
        <v>1130</v>
      </c>
      <c r="AD299" s="9">
        <v>660000</v>
      </c>
      <c r="AE299" s="5">
        <v>46108</v>
      </c>
      <c r="AF299" s="11"/>
      <c r="AG299" s="11"/>
      <c r="AI299" s="9"/>
      <c r="AJ299" s="11"/>
      <c r="AK299" s="4">
        <v>460</v>
      </c>
      <c r="AL299" s="14">
        <v>46113</v>
      </c>
    </row>
    <row r="300" spans="1:38" ht="43.5">
      <c r="A300" s="4" t="str">
        <f>A299</f>
        <v>2025-26</v>
      </c>
      <c r="B300" s="4">
        <f>B299</f>
        <v>15</v>
      </c>
      <c r="C300" s="4">
        <f>C299+1</f>
        <v>15</v>
      </c>
      <c r="D300" s="6" t="s">
        <v>1148</v>
      </c>
      <c r="E300" s="4" t="s">
        <v>10</v>
      </c>
      <c r="F300" s="4" t="str" cm="1">
        <f t="array" ref="F300">_xlfn.IFS(
  E300="Mahuva", "Mahuva",
  E300="Jesar", "Mahuva",
  E300="Palitana", "Palitana",
  E300="Gariyadhar", "Palitana",
  E300="Talaja", "Talaja",
  E300="Vallabhipur", "Vallabhipur",
  E300="Umrala", "Vallabhipur",
  E300="Shihor", "Shihor",
  E300="Ghogha", "Bhavnagar",
  E300="Bhavnagar", "Bhavnagar"
)</f>
        <v>Mahuva</v>
      </c>
      <c r="G300" s="4" t="s">
        <v>19</v>
      </c>
      <c r="H300" s="4">
        <v>293802</v>
      </c>
      <c r="I300" s="4"/>
      <c r="M300" s="7">
        <v>36840902.890000001</v>
      </c>
      <c r="N300" s="7">
        <v>35448316.759999998</v>
      </c>
      <c r="O300" s="8">
        <v>-3.78</v>
      </c>
      <c r="P300" s="8" t="str">
        <f>IF(O300&lt;0,"Below",IF(O300&gt;0,"Above","Equals"))</f>
        <v>Below</v>
      </c>
      <c r="Q300" s="4" t="s">
        <v>13</v>
      </c>
      <c r="R300" s="5">
        <v>46155</v>
      </c>
      <c r="S300" s="15"/>
      <c r="U300" s="12"/>
      <c r="V300" s="4"/>
      <c r="X300" s="4"/>
      <c r="Y300" s="13"/>
      <c r="Z300" s="13"/>
      <c r="AA300" s="4"/>
      <c r="AB300" s="4"/>
      <c r="AD300" s="9"/>
      <c r="AE300" s="5"/>
      <c r="AF300" s="11"/>
      <c r="AG300" s="11"/>
      <c r="AI300" s="9"/>
      <c r="AJ300" s="11"/>
      <c r="AK300" s="4"/>
    </row>
    <row r="301" spans="1:38" ht="72.5">
      <c r="A301" s="4" t="s">
        <v>50</v>
      </c>
      <c r="B301" s="4">
        <v>16</v>
      </c>
      <c r="C301" s="4">
        <v>1</v>
      </c>
      <c r="D301" s="6" t="s">
        <v>671</v>
      </c>
      <c r="E301" s="4" t="s">
        <v>0</v>
      </c>
      <c r="F301" s="4" t="str" cm="1">
        <f t="array" ref="F301">_xlfn.IFS(
  E301="Mahuva", "Mahuva",
  E301="Jesar", "Mahuva",
  E301="Palitana", "Palitana",
  E301="Gariyadhar", "Palitana",
  E301="Talaja", "Talaja",
  E301="Vallabhipur", "Vallabhipur",
  E301="Umrala", "Vallabhipur",
  E301="Shihor", "Shihor",
  E301="Ghogha", "Bhavnagar",
  E301="Bhavnagar", "Bhavnagar"
)</f>
        <v>Bhavnagar</v>
      </c>
      <c r="G301" s="4" t="s">
        <v>562</v>
      </c>
      <c r="I301" s="4">
        <v>2</v>
      </c>
      <c r="O301" s="8"/>
      <c r="P301" s="8" t="str">
        <f>IF(O301&lt;0,"Below",IF(O301&gt;0,"Above","Equals"))</f>
        <v>Equals</v>
      </c>
      <c r="R301" s="5"/>
      <c r="S301" s="6"/>
      <c r="U301" s="12"/>
      <c r="V301" s="4"/>
      <c r="W301" s="14" t="s">
        <v>1016</v>
      </c>
      <c r="X301" s="4"/>
      <c r="Y301" s="13"/>
      <c r="Z301" s="13"/>
      <c r="AA301" s="4"/>
      <c r="AB301" s="4"/>
      <c r="AD301" s="9"/>
      <c r="AE301" s="5"/>
      <c r="AF301" s="11"/>
      <c r="AG301" s="11"/>
      <c r="AI301" s="9"/>
      <c r="AJ301" s="11"/>
      <c r="AK301" s="4"/>
    </row>
    <row r="302" spans="1:38" ht="43.5">
      <c r="A302" s="4" t="s">
        <v>50</v>
      </c>
      <c r="B302" s="4">
        <v>17</v>
      </c>
      <c r="C302" s="4">
        <v>1</v>
      </c>
      <c r="D302" s="6" t="s">
        <v>695</v>
      </c>
      <c r="E302" s="4" t="s">
        <v>10</v>
      </c>
      <c r="F302" s="4" t="str" cm="1">
        <f t="array" ref="F302">_xlfn.IFS(
  E302="Mahuva", "Mahuva",
  E302="Jesar", "Mahuva",
  E302="Palitana", "Palitana",
  E302="Gariyadhar", "Palitana",
  E302="Talaja", "Talaja",
  E302="Vallabhipur", "Vallabhipur",
  E302="Umrala", "Vallabhipur",
  E302="Shihor", "Shihor",
  E302="Ghogha", "Bhavnagar",
  E302="Bhavnagar", "Bhavnagar"
)</f>
        <v>Mahuva</v>
      </c>
      <c r="G302" s="4" t="s">
        <v>206</v>
      </c>
      <c r="H302" s="4">
        <v>221189</v>
      </c>
      <c r="I302" s="4">
        <v>2</v>
      </c>
      <c r="J302" s="5">
        <v>45903</v>
      </c>
      <c r="K302" s="5">
        <v>45915</v>
      </c>
      <c r="L302" s="5">
        <v>45916</v>
      </c>
      <c r="M302" s="7">
        <v>32612005.170000002</v>
      </c>
      <c r="N302" s="7">
        <v>26901643.059999999</v>
      </c>
      <c r="O302" s="8">
        <v>-17.510000000000002</v>
      </c>
      <c r="P302" s="8" t="str">
        <f>IF(O302&lt;0,"Below",IF(O302&gt;0,"Above","Equals"))</f>
        <v>Below</v>
      </c>
      <c r="Q302" s="4" t="s">
        <v>672</v>
      </c>
      <c r="R302" s="5"/>
      <c r="S302" s="6" t="s">
        <v>741</v>
      </c>
      <c r="T302" s="14">
        <v>45938</v>
      </c>
      <c r="U302" s="12">
        <v>11</v>
      </c>
      <c r="V302" s="4">
        <v>1513</v>
      </c>
      <c r="W302" s="14">
        <v>45972</v>
      </c>
      <c r="X302" s="4" t="s">
        <v>50</v>
      </c>
      <c r="Y302" s="13">
        <v>222</v>
      </c>
      <c r="Z302" s="26">
        <v>46000</v>
      </c>
      <c r="AA302" s="4" t="s">
        <v>299</v>
      </c>
      <c r="AB302" s="4" t="s">
        <v>647</v>
      </c>
      <c r="AC302" s="33" t="s">
        <v>809</v>
      </c>
      <c r="AD302" s="9">
        <v>1346000</v>
      </c>
      <c r="AE302" s="5">
        <v>45985</v>
      </c>
      <c r="AF302" s="4" t="s">
        <v>299</v>
      </c>
      <c r="AG302" s="4" t="s">
        <v>647</v>
      </c>
      <c r="AH302" s="33" t="s">
        <v>810</v>
      </c>
      <c r="AI302" s="9">
        <v>490000</v>
      </c>
      <c r="AJ302" s="5">
        <v>45985</v>
      </c>
      <c r="AK302" s="4">
        <v>1600</v>
      </c>
      <c r="AL302" s="14">
        <v>46000</v>
      </c>
    </row>
    <row r="303" spans="1:38" ht="58">
      <c r="A303" s="4" t="s">
        <v>50</v>
      </c>
      <c r="B303" s="4">
        <v>17</v>
      </c>
      <c r="C303" s="4">
        <v>2</v>
      </c>
      <c r="D303" s="6" t="s">
        <v>943</v>
      </c>
      <c r="E303" s="4" t="s">
        <v>10</v>
      </c>
      <c r="F303" s="4" t="str" cm="1">
        <f t="array" ref="F303">_xlfn.IFS(
  E303="Mahuva", "Mahuva",
  E303="Jesar", "Mahuva",
  E303="Palitana", "Palitana",
  E303="Gariyadhar", "Palitana",
  E303="Talaja", "Talaja",
  E303="Vallabhipur", "Vallabhipur",
  E303="Umrala", "Vallabhipur",
  E303="Shihor", "Shihor",
  E303="Ghogha", "Bhavnagar",
  E303="Bhavnagar", "Bhavnagar"
)</f>
        <v>Mahuva</v>
      </c>
      <c r="G303" s="4" t="s">
        <v>19</v>
      </c>
      <c r="H303" s="4">
        <v>221190</v>
      </c>
      <c r="I303" s="4">
        <v>2</v>
      </c>
      <c r="J303" s="5">
        <v>45903</v>
      </c>
      <c r="K303" s="5">
        <v>45915</v>
      </c>
      <c r="L303" s="5">
        <v>45916</v>
      </c>
      <c r="M303" s="7">
        <v>227072204.88999999</v>
      </c>
      <c r="N303" s="7">
        <v>237313161.33000001</v>
      </c>
      <c r="O303" s="8">
        <v>4.51</v>
      </c>
      <c r="P303" s="8" t="str">
        <f>IF(O303&lt;0,"Below",IF(O303&gt;0,"Above","Equals"))</f>
        <v>Above</v>
      </c>
      <c r="Q303" s="4" t="s">
        <v>939</v>
      </c>
      <c r="R303" s="5"/>
      <c r="S303" s="6" t="s">
        <v>941</v>
      </c>
      <c r="T303" s="14" t="s">
        <v>942</v>
      </c>
      <c r="U303" s="12">
        <v>11</v>
      </c>
      <c r="V303" s="4">
        <v>44</v>
      </c>
      <c r="W303" s="14">
        <v>46035</v>
      </c>
      <c r="X303" s="4"/>
      <c r="Y303" s="13"/>
      <c r="Z303" s="13"/>
      <c r="AA303" s="4"/>
      <c r="AB303" s="4"/>
      <c r="AD303" s="9"/>
      <c r="AE303" s="5"/>
      <c r="AF303" s="11"/>
      <c r="AG303" s="11"/>
      <c r="AI303" s="9"/>
      <c r="AJ303" s="11"/>
      <c r="AK303" s="4"/>
    </row>
    <row r="304" spans="1:38" ht="58">
      <c r="A304" s="4" t="s">
        <v>50</v>
      </c>
      <c r="B304" s="4">
        <v>17</v>
      </c>
      <c r="C304" s="4">
        <v>3</v>
      </c>
      <c r="D304" s="6" t="s">
        <v>696</v>
      </c>
      <c r="E304" s="4" t="s">
        <v>10</v>
      </c>
      <c r="F304" s="4" t="str" cm="1">
        <f t="array" ref="F304">_xlfn.IFS(
  E304="Mahuva", "Mahuva",
  E304="Jesar", "Mahuva",
  E304="Palitana", "Palitana",
  E304="Gariyadhar", "Palitana",
  E304="Talaja", "Talaja",
  E304="Vallabhipur", "Vallabhipur",
  E304="Umrala", "Vallabhipur",
  E304="Shihor", "Shihor",
  E304="Ghogha", "Bhavnagar",
  E304="Bhavnagar", "Bhavnagar"
)</f>
        <v>Mahuva</v>
      </c>
      <c r="G304" s="4" t="s">
        <v>19</v>
      </c>
      <c r="H304" s="4">
        <v>221192</v>
      </c>
      <c r="I304" s="4">
        <v>1</v>
      </c>
      <c r="J304" s="5">
        <v>45903</v>
      </c>
      <c r="K304" s="5">
        <v>45915</v>
      </c>
      <c r="L304" s="5">
        <v>45916</v>
      </c>
      <c r="M304" s="7">
        <v>11756762.73</v>
      </c>
      <c r="N304" s="7">
        <v>9142058.6999999993</v>
      </c>
      <c r="O304" s="8">
        <v>-22.24</v>
      </c>
      <c r="P304" s="8" t="str">
        <f>IF(O304&lt;0,"Below",IF(O304&gt;0,"Above","Equals"))</f>
        <v>Below</v>
      </c>
      <c r="Q304" s="4" t="s">
        <v>673</v>
      </c>
      <c r="R304" s="5">
        <v>45924</v>
      </c>
      <c r="S304" s="15" t="s">
        <v>742</v>
      </c>
      <c r="T304" s="14">
        <v>45933</v>
      </c>
      <c r="U304" s="12">
        <v>6</v>
      </c>
      <c r="V304" s="4">
        <v>1515</v>
      </c>
      <c r="W304" s="14">
        <v>45972</v>
      </c>
      <c r="X304" s="4" t="s">
        <v>50</v>
      </c>
      <c r="Y304" s="13">
        <v>299</v>
      </c>
      <c r="Z304" s="26">
        <v>46056</v>
      </c>
      <c r="AA304" s="4" t="s">
        <v>299</v>
      </c>
      <c r="AB304" s="4" t="s">
        <v>312</v>
      </c>
      <c r="AC304" s="33">
        <v>44803353220</v>
      </c>
      <c r="AD304" s="9">
        <v>458000</v>
      </c>
      <c r="AE304" s="5">
        <v>46027</v>
      </c>
      <c r="AF304" s="4" t="s">
        <v>299</v>
      </c>
      <c r="AG304" s="4" t="s">
        <v>312</v>
      </c>
      <c r="AH304" s="33">
        <v>44817559792</v>
      </c>
      <c r="AI304" s="9">
        <v>432000</v>
      </c>
      <c r="AJ304" s="5">
        <v>46031</v>
      </c>
      <c r="AK304" s="4">
        <v>121</v>
      </c>
      <c r="AL304" s="14">
        <v>46056</v>
      </c>
    </row>
    <row r="305" spans="1:38" ht="43.5">
      <c r="A305" s="4" t="s">
        <v>50</v>
      </c>
      <c r="B305" s="4">
        <v>17</v>
      </c>
      <c r="C305" s="4">
        <v>4</v>
      </c>
      <c r="D305" s="6" t="s">
        <v>697</v>
      </c>
      <c r="E305" s="4" t="s">
        <v>279</v>
      </c>
      <c r="F305" s="4" t="str" cm="1">
        <f t="array" ref="F305">_xlfn.IFS(
  E305="Mahuva", "Mahuva",
  E305="Jesar", "Mahuva",
  E305="Palitana", "Palitana",
  E305="Gariyadhar", "Palitana",
  E305="Talaja", "Talaja",
  E305="Vallabhipur", "Vallabhipur",
  E305="Umrala", "Vallabhipur",
  E305="Shihor", "Shihor",
  E305="Ghogha", "Bhavnagar",
  E305="Bhavnagar", "Bhavnagar"
)</f>
        <v>Bhavnagar</v>
      </c>
      <c r="G305" s="4" t="s">
        <v>19</v>
      </c>
      <c r="H305" s="4">
        <v>221193</v>
      </c>
      <c r="I305" s="4">
        <v>1</v>
      </c>
      <c r="J305" s="5">
        <v>45903</v>
      </c>
      <c r="K305" s="5">
        <v>45915</v>
      </c>
      <c r="L305" s="5">
        <v>45916</v>
      </c>
      <c r="M305" s="7">
        <v>35814664.399999999</v>
      </c>
      <c r="N305" s="7">
        <v>30023433.170000002</v>
      </c>
      <c r="O305" s="8">
        <v>-16.170000000000002</v>
      </c>
      <c r="P305" s="8" t="str">
        <f>IF(O305&lt;0,"Below",IF(O305&gt;0,"Above","Equals"))</f>
        <v>Below</v>
      </c>
      <c r="Q305" s="4" t="s">
        <v>172</v>
      </c>
      <c r="R305" s="5">
        <v>45924</v>
      </c>
      <c r="S305" s="6" t="s">
        <v>746</v>
      </c>
      <c r="T305" s="14">
        <v>45938</v>
      </c>
      <c r="U305" s="12">
        <v>10</v>
      </c>
      <c r="V305" s="4">
        <v>1519</v>
      </c>
      <c r="W305" s="14">
        <v>45972</v>
      </c>
      <c r="X305" s="4" t="s">
        <v>50</v>
      </c>
      <c r="Y305" s="13">
        <v>295</v>
      </c>
      <c r="Z305" s="26">
        <v>46052</v>
      </c>
      <c r="AA305" s="4" t="s">
        <v>299</v>
      </c>
      <c r="AB305" s="4" t="s">
        <v>312</v>
      </c>
      <c r="AC305" s="33">
        <v>44863489489</v>
      </c>
      <c r="AD305" s="9">
        <v>1502000</v>
      </c>
      <c r="AE305" s="5">
        <v>46050</v>
      </c>
      <c r="AF305" s="4" t="s">
        <v>299</v>
      </c>
      <c r="AG305" s="4" t="s">
        <v>312</v>
      </c>
      <c r="AH305" s="33">
        <v>44869443108</v>
      </c>
      <c r="AI305" s="9">
        <v>442000</v>
      </c>
      <c r="AJ305" s="5">
        <v>46052</v>
      </c>
      <c r="AK305" s="4">
        <v>113</v>
      </c>
      <c r="AL305" s="14">
        <v>46052</v>
      </c>
    </row>
    <row r="306" spans="1:38" ht="43.5">
      <c r="A306" s="4" t="s">
        <v>50</v>
      </c>
      <c r="B306" s="4">
        <v>17</v>
      </c>
      <c r="C306" s="4">
        <v>5</v>
      </c>
      <c r="D306" s="6" t="s">
        <v>698</v>
      </c>
      <c r="E306" s="4" t="s">
        <v>279</v>
      </c>
      <c r="F306" s="4" t="str" cm="1">
        <f t="array" ref="F306">_xlfn.IFS(
  E306="Mahuva", "Mahuva",
  E306="Jesar", "Mahuva",
  E306="Palitana", "Palitana",
  E306="Gariyadhar", "Palitana",
  E306="Talaja", "Talaja",
  E306="Vallabhipur", "Vallabhipur",
  E306="Umrala", "Vallabhipur",
  E306="Shihor", "Shihor",
  E306="Ghogha", "Bhavnagar",
  E306="Bhavnagar", "Bhavnagar"
)</f>
        <v>Bhavnagar</v>
      </c>
      <c r="G306" s="4" t="s">
        <v>19</v>
      </c>
      <c r="H306" s="4">
        <v>221194</v>
      </c>
      <c r="I306" s="4">
        <v>1</v>
      </c>
      <c r="J306" s="5">
        <v>45903</v>
      </c>
      <c r="K306" s="5">
        <v>45915</v>
      </c>
      <c r="L306" s="5">
        <v>45916</v>
      </c>
      <c r="M306" s="7">
        <v>11516943.289999999</v>
      </c>
      <c r="N306" s="7">
        <v>8274923.75</v>
      </c>
      <c r="O306" s="8">
        <v>-28.15</v>
      </c>
      <c r="P306" s="8" t="str">
        <f>IF(O306&lt;0,"Below",IF(O306&gt;0,"Above","Equals"))</f>
        <v>Below</v>
      </c>
      <c r="Q306" s="4" t="s">
        <v>180</v>
      </c>
      <c r="R306" s="5">
        <v>45924</v>
      </c>
      <c r="S306" s="15" t="s">
        <v>749</v>
      </c>
      <c r="T306" s="14">
        <v>45933</v>
      </c>
      <c r="U306" s="12">
        <v>6</v>
      </c>
      <c r="V306" s="4">
        <v>1521</v>
      </c>
      <c r="W306" s="14">
        <v>45972</v>
      </c>
      <c r="X306" s="4"/>
      <c r="Y306" s="13"/>
      <c r="Z306" s="13"/>
      <c r="AA306" s="4"/>
      <c r="AB306" s="4"/>
      <c r="AD306" s="9"/>
      <c r="AE306" s="5"/>
      <c r="AF306" s="11"/>
      <c r="AG306" s="11"/>
      <c r="AI306" s="9"/>
      <c r="AJ306" s="11"/>
      <c r="AK306" s="4"/>
    </row>
    <row r="307" spans="1:38" ht="43.5">
      <c r="A307" s="4" t="s">
        <v>50</v>
      </c>
      <c r="B307" s="4">
        <v>17</v>
      </c>
      <c r="C307" s="4">
        <v>6</v>
      </c>
      <c r="D307" s="6" t="s">
        <v>775</v>
      </c>
      <c r="E307" s="4" t="s">
        <v>10</v>
      </c>
      <c r="F307" s="4" t="str" cm="1">
        <f t="array" ref="F307">_xlfn.IFS(
  E307="Mahuva", "Mahuva",
  E307="Jesar", "Mahuva",
  E307="Palitana", "Palitana",
  E307="Gariyadhar", "Palitana",
  E307="Talaja", "Talaja",
  E307="Vallabhipur", "Vallabhipur",
  E307="Umrala", "Vallabhipur",
  E307="Shihor", "Shihor",
  E307="Ghogha", "Bhavnagar",
  E307="Bhavnagar", "Bhavnagar"
)</f>
        <v>Mahuva</v>
      </c>
      <c r="G307" s="4" t="s">
        <v>19</v>
      </c>
      <c r="I307" s="4">
        <v>1</v>
      </c>
      <c r="J307" s="5">
        <v>45903</v>
      </c>
      <c r="K307" s="5">
        <v>45915</v>
      </c>
      <c r="L307" s="5">
        <v>45916</v>
      </c>
      <c r="O307" s="8"/>
      <c r="P307" s="8" t="str">
        <f>IF(O307&lt;0,"Below",IF(O307&gt;0,"Above","Equals"))</f>
        <v>Equals</v>
      </c>
      <c r="R307" s="5"/>
      <c r="S307" s="6"/>
      <c r="U307" s="12"/>
      <c r="V307" s="4"/>
      <c r="X307" s="4"/>
      <c r="Y307" s="13"/>
      <c r="Z307" s="13"/>
      <c r="AA307" s="4"/>
      <c r="AB307" s="4"/>
      <c r="AD307" s="9"/>
      <c r="AE307" s="5"/>
      <c r="AF307" s="11"/>
      <c r="AG307" s="11"/>
      <c r="AI307" s="9"/>
      <c r="AJ307" s="11"/>
      <c r="AK307" s="4"/>
    </row>
    <row r="308" spans="1:38" ht="43.5">
      <c r="A308" s="4" t="s">
        <v>50</v>
      </c>
      <c r="B308" s="4">
        <v>17</v>
      </c>
      <c r="C308" s="4">
        <v>7</v>
      </c>
      <c r="D308" s="6" t="s">
        <v>699</v>
      </c>
      <c r="E308" s="4" t="s">
        <v>228</v>
      </c>
      <c r="F308" s="4" t="str" cm="1">
        <f t="array" ref="F308">_xlfn.IFS(
  E308="Mahuva", "Mahuva",
  E308="Jesar", "Mahuva",
  E308="Palitana", "Palitana",
  E308="Gariyadhar", "Palitana",
  E308="Talaja", "Talaja",
  E308="Vallabhipur", "Vallabhipur",
  E308="Umrala", "Vallabhipur",
  E308="Shihor", "Shihor",
  E308="Ghogha", "Bhavnagar",
  E308="Bhavnagar", "Bhavnagar"
)</f>
        <v>Mahuva</v>
      </c>
      <c r="G308" s="4" t="s">
        <v>19</v>
      </c>
      <c r="H308" s="4">
        <v>221196</v>
      </c>
      <c r="I308" s="4">
        <v>1</v>
      </c>
      <c r="J308" s="5">
        <v>45903</v>
      </c>
      <c r="K308" s="5">
        <v>45915</v>
      </c>
      <c r="L308" s="5">
        <v>45916</v>
      </c>
      <c r="M308" s="7">
        <v>26285528.350000001</v>
      </c>
      <c r="N308" s="7">
        <v>24866109.82</v>
      </c>
      <c r="O308" s="8">
        <v>-5.4</v>
      </c>
      <c r="P308" s="8" t="str">
        <f>IF(O308&lt;0,"Below",IF(O308&gt;0,"Above","Equals"))</f>
        <v>Below</v>
      </c>
      <c r="Q308" s="4" t="s">
        <v>674</v>
      </c>
      <c r="R308" s="5">
        <v>45924</v>
      </c>
      <c r="S308" s="6" t="s">
        <v>748</v>
      </c>
      <c r="T308" s="14">
        <v>45944</v>
      </c>
      <c r="U308" s="12">
        <v>8</v>
      </c>
      <c r="V308" s="4">
        <v>1520</v>
      </c>
      <c r="W308" s="14">
        <v>45972</v>
      </c>
      <c r="X308" s="4" t="s">
        <v>50</v>
      </c>
      <c r="Y308" s="13">
        <v>355</v>
      </c>
      <c r="Z308" s="26">
        <v>46108</v>
      </c>
      <c r="AA308" s="4" t="s">
        <v>302</v>
      </c>
      <c r="AB308" s="4" t="s">
        <v>712</v>
      </c>
      <c r="AC308" s="33" t="s">
        <v>1123</v>
      </c>
      <c r="AD308" s="9">
        <v>1244000</v>
      </c>
      <c r="AE308" s="5">
        <v>46090</v>
      </c>
      <c r="AF308" s="11"/>
      <c r="AG308" s="11"/>
      <c r="AI308" s="9"/>
      <c r="AJ308" s="11"/>
      <c r="AK308" s="4">
        <v>438</v>
      </c>
      <c r="AL308" s="26">
        <v>46108</v>
      </c>
    </row>
    <row r="309" spans="1:38" ht="43.5">
      <c r="A309" s="4" t="s">
        <v>50</v>
      </c>
      <c r="B309" s="4">
        <v>17</v>
      </c>
      <c r="C309" s="4">
        <v>8</v>
      </c>
      <c r="D309" s="6" t="s">
        <v>700</v>
      </c>
      <c r="E309" s="4" t="s">
        <v>228</v>
      </c>
      <c r="F309" s="4" t="str" cm="1">
        <f t="array" ref="F309">_xlfn.IFS(
  E309="Mahuva", "Mahuva",
  E309="Jesar", "Mahuva",
  E309="Palitana", "Palitana",
  E309="Gariyadhar", "Palitana",
  E309="Talaja", "Talaja",
  E309="Vallabhipur", "Vallabhipur",
  E309="Umrala", "Vallabhipur",
  E309="Shihor", "Shihor",
  E309="Ghogha", "Bhavnagar",
  E309="Bhavnagar", "Bhavnagar"
)</f>
        <v>Mahuva</v>
      </c>
      <c r="G309" s="4" t="s">
        <v>19</v>
      </c>
      <c r="H309" s="4">
        <v>221660</v>
      </c>
      <c r="I309" s="4">
        <v>1</v>
      </c>
      <c r="J309" s="5">
        <v>45903</v>
      </c>
      <c r="K309" s="5">
        <v>45915</v>
      </c>
      <c r="L309" s="5">
        <v>45916</v>
      </c>
      <c r="M309" s="7">
        <v>72589353.980000004</v>
      </c>
      <c r="N309" s="7">
        <v>65337677.520000003</v>
      </c>
      <c r="O309" s="8">
        <v>-9.99</v>
      </c>
      <c r="P309" s="8" t="str">
        <f>IF(O309&lt;0,"Below",IF(O309&gt;0,"Above","Equals"))</f>
        <v>Below</v>
      </c>
      <c r="Q309" s="4" t="s">
        <v>574</v>
      </c>
      <c r="R309" s="5">
        <v>45924</v>
      </c>
      <c r="S309" s="6" t="s">
        <v>938</v>
      </c>
      <c r="T309" s="14">
        <v>46025</v>
      </c>
      <c r="U309" s="12">
        <v>9</v>
      </c>
      <c r="V309" s="4">
        <v>43</v>
      </c>
      <c r="W309" s="14">
        <v>46035</v>
      </c>
      <c r="X309" s="4" t="s">
        <v>1126</v>
      </c>
      <c r="Y309" s="13">
        <v>4</v>
      </c>
      <c r="Z309" s="26">
        <v>46113</v>
      </c>
      <c r="AA309" s="4" t="s">
        <v>302</v>
      </c>
      <c r="AB309" s="4" t="s">
        <v>712</v>
      </c>
      <c r="AC309" s="33" t="s">
        <v>1128</v>
      </c>
      <c r="AD309" s="9">
        <v>3267000</v>
      </c>
      <c r="AE309" s="5">
        <v>46111</v>
      </c>
      <c r="AF309" s="11"/>
      <c r="AG309" s="11"/>
      <c r="AI309" s="9"/>
      <c r="AJ309" s="11"/>
      <c r="AK309" s="4">
        <v>458</v>
      </c>
      <c r="AL309" s="14">
        <v>46113</v>
      </c>
    </row>
    <row r="310" spans="1:38" ht="43.5">
      <c r="A310" s="4" t="s">
        <v>50</v>
      </c>
      <c r="B310" s="4">
        <v>17</v>
      </c>
      <c r="C310" s="4">
        <v>9</v>
      </c>
      <c r="D310" s="6" t="s">
        <v>675</v>
      </c>
      <c r="E310" s="4" t="s">
        <v>11</v>
      </c>
      <c r="F310" s="4" t="str" cm="1">
        <f t="array" ref="F310">_xlfn.IFS(
  E310="Mahuva", "Mahuva",
  E310="Jesar", "Mahuva",
  E310="Palitana", "Palitana",
  E310="Gariyadhar", "Palitana",
  E310="Talaja", "Talaja",
  E310="Vallabhipur", "Vallabhipur",
  E310="Umrala", "Vallabhipur",
  E310="Shihor", "Shihor",
  E310="Ghogha", "Bhavnagar",
  E310="Bhavnagar", "Bhavnagar"
)</f>
        <v>Shihor</v>
      </c>
      <c r="G310" s="4" t="s">
        <v>19</v>
      </c>
      <c r="H310" s="4">
        <v>221197</v>
      </c>
      <c r="I310" s="4">
        <v>1</v>
      </c>
      <c r="J310" s="5">
        <v>45903</v>
      </c>
      <c r="K310" s="5">
        <v>45915</v>
      </c>
      <c r="L310" s="5">
        <v>45916</v>
      </c>
      <c r="M310" s="7">
        <v>20266356.100000001</v>
      </c>
      <c r="N310" s="7">
        <v>17019685.850000001</v>
      </c>
      <c r="O310" s="8">
        <v>-16.02</v>
      </c>
      <c r="P310" s="8" t="str">
        <f>IF(O310&lt;0,"Below",IF(O310&gt;0,"Above","Equals"))</f>
        <v>Below</v>
      </c>
      <c r="Q310" s="4" t="s">
        <v>172</v>
      </c>
      <c r="R310" s="5">
        <v>45924</v>
      </c>
      <c r="S310" s="6" t="s">
        <v>745</v>
      </c>
      <c r="T310" s="14">
        <v>45938</v>
      </c>
      <c r="U310" s="12">
        <v>8</v>
      </c>
      <c r="V310" s="4">
        <v>1518</v>
      </c>
      <c r="W310" s="14">
        <v>45972</v>
      </c>
      <c r="X310" s="4" t="s">
        <v>50</v>
      </c>
      <c r="Y310" s="13">
        <v>296</v>
      </c>
      <c r="Z310" s="26">
        <v>46052</v>
      </c>
      <c r="AA310" s="4" t="s">
        <v>299</v>
      </c>
      <c r="AB310" s="4" t="s">
        <v>312</v>
      </c>
      <c r="AC310" s="33">
        <v>44863327278</v>
      </c>
      <c r="AD310" s="9">
        <v>851000</v>
      </c>
      <c r="AE310" s="5">
        <v>46050</v>
      </c>
      <c r="AF310" s="4" t="s">
        <v>299</v>
      </c>
      <c r="AG310" s="4" t="s">
        <v>312</v>
      </c>
      <c r="AH310" s="33">
        <v>44869573919</v>
      </c>
      <c r="AI310" s="9">
        <v>245000</v>
      </c>
      <c r="AJ310" s="5">
        <v>46052</v>
      </c>
      <c r="AK310" s="4">
        <v>114</v>
      </c>
      <c r="AL310" s="14">
        <v>46052</v>
      </c>
    </row>
    <row r="311" spans="1:38" ht="43.5">
      <c r="A311" s="4" t="str">
        <f>A310</f>
        <v>2025-26</v>
      </c>
      <c r="B311" s="4">
        <f>B310</f>
        <v>17</v>
      </c>
      <c r="C311" s="4">
        <f>C310+1</f>
        <v>10</v>
      </c>
      <c r="D311" s="6" t="s">
        <v>1150</v>
      </c>
      <c r="E311" s="4" t="s">
        <v>11</v>
      </c>
      <c r="F311" s="4" t="str" cm="1">
        <f t="array" ref="F311">_xlfn.IFS(
  E311="Mahuva", "Mahuva",
  E311="Jesar", "Mahuva",
  E311="Palitana", "Palitana",
  E311="Gariyadhar", "Palitana",
  E311="Talaja", "Talaja",
  E311="Vallabhipur", "Vallabhipur",
  E311="Umrala", "Vallabhipur",
  E311="Shihor", "Shihor",
  E311="Ghogha", "Bhavnagar",
  E311="Bhavnagar", "Bhavnagar"
)</f>
        <v>Shihor</v>
      </c>
      <c r="G311" s="4" t="s">
        <v>19</v>
      </c>
      <c r="H311" s="4">
        <v>293814</v>
      </c>
      <c r="I311" s="4"/>
      <c r="M311" s="7">
        <v>41964771.509999998</v>
      </c>
      <c r="N311" s="7">
        <v>33576013.689999998</v>
      </c>
      <c r="O311" s="8">
        <v>-19.989999999999998</v>
      </c>
      <c r="P311" s="8" t="str">
        <f>IF(O311&lt;0,"Below",IF(O311&gt;0,"Above","Equals"))</f>
        <v>Below</v>
      </c>
      <c r="Q311" s="4" t="s">
        <v>109</v>
      </c>
      <c r="R311" s="5">
        <v>46155</v>
      </c>
      <c r="S311" s="15"/>
      <c r="T311" s="46"/>
      <c r="U311" s="12"/>
      <c r="V311" s="4"/>
      <c r="W311" s="46"/>
      <c r="X311" s="4"/>
      <c r="Y311" s="13"/>
      <c r="Z311" s="13"/>
      <c r="AA311" s="4"/>
      <c r="AB311" s="4"/>
      <c r="AD311" s="9"/>
      <c r="AE311" s="5"/>
      <c r="AF311" s="11"/>
      <c r="AG311" s="11"/>
      <c r="AI311" s="9"/>
      <c r="AJ311" s="11"/>
      <c r="AK311" s="4"/>
    </row>
    <row r="312" spans="1:38" ht="43.5">
      <c r="A312" s="4" t="s">
        <v>50</v>
      </c>
      <c r="B312" s="4">
        <v>17</v>
      </c>
      <c r="C312" s="4">
        <v>10</v>
      </c>
      <c r="D312" s="6" t="s">
        <v>701</v>
      </c>
      <c r="E312" s="4" t="s">
        <v>207</v>
      </c>
      <c r="F312" s="4" t="str" cm="1">
        <f t="array" ref="F312">_xlfn.IFS(
  E312="Mahuva", "Mahuva",
  E312="Jesar", "Mahuva",
  E312="Palitana", "Palitana",
  E312="Gariyadhar", "Palitana",
  E312="Talaja", "Talaja",
  E312="Vallabhipur", "Vallabhipur",
  E312="Umrala", "Vallabhipur",
  E312="Shihor", "Shihor",
  E312="Ghogha", "Bhavnagar",
  E312="Bhavnagar", "Bhavnagar"
)</f>
        <v>Palitana</v>
      </c>
      <c r="G312" s="4" t="s">
        <v>19</v>
      </c>
      <c r="H312" s="4">
        <v>221199</v>
      </c>
      <c r="I312" s="4">
        <v>1</v>
      </c>
      <c r="J312" s="5">
        <v>45903</v>
      </c>
      <c r="K312" s="5">
        <v>45915</v>
      </c>
      <c r="L312" s="5">
        <v>45916</v>
      </c>
      <c r="M312" s="7">
        <v>34494645.359999999</v>
      </c>
      <c r="N312" s="7">
        <v>32321482.699999999</v>
      </c>
      <c r="O312" s="8">
        <v>-6.3</v>
      </c>
      <c r="P312" s="8" t="str">
        <f>IF(O312&lt;0,"Below",IF(O312&gt;0,"Above","Equals"))</f>
        <v>Below</v>
      </c>
      <c r="Q312" s="4" t="s">
        <v>13</v>
      </c>
      <c r="R312" s="5">
        <v>45924</v>
      </c>
      <c r="S312" s="6" t="s">
        <v>743</v>
      </c>
      <c r="T312" s="14">
        <v>45938</v>
      </c>
      <c r="U312" s="12">
        <v>10</v>
      </c>
      <c r="V312" s="4">
        <v>1516</v>
      </c>
      <c r="W312" s="14">
        <v>45972</v>
      </c>
      <c r="X312" s="4" t="s">
        <v>50</v>
      </c>
      <c r="Y312" s="13">
        <v>322</v>
      </c>
      <c r="Z312" s="26">
        <v>46083</v>
      </c>
      <c r="AA312" s="4" t="s">
        <v>299</v>
      </c>
      <c r="AB312" s="4" t="s">
        <v>725</v>
      </c>
      <c r="AC312" s="33" t="s">
        <v>1028</v>
      </c>
      <c r="AD312" s="9">
        <v>1617000</v>
      </c>
      <c r="AE312" s="5">
        <v>46080</v>
      </c>
      <c r="AF312" s="11"/>
      <c r="AG312" s="11"/>
      <c r="AI312" s="9"/>
      <c r="AJ312" s="11"/>
      <c r="AK312" s="4">
        <v>326</v>
      </c>
      <c r="AL312" s="14">
        <v>46083</v>
      </c>
    </row>
    <row r="313" spans="1:38" ht="43.5">
      <c r="A313" s="4" t="s">
        <v>50</v>
      </c>
      <c r="B313" s="4">
        <v>17</v>
      </c>
      <c r="C313" s="4">
        <v>11</v>
      </c>
      <c r="D313" s="6" t="s">
        <v>702</v>
      </c>
      <c r="E313" s="4" t="s">
        <v>2</v>
      </c>
      <c r="F313" s="4" t="str" cm="1">
        <f t="array" ref="F313">_xlfn.IFS(
  E313="Mahuva", "Mahuva",
  E313="Jesar", "Mahuva",
  E313="Palitana", "Palitana",
  E313="Gariyadhar", "Palitana",
  E313="Talaja", "Talaja",
  E313="Vallabhipur", "Vallabhipur",
  E313="Umrala", "Vallabhipur",
  E313="Shihor", "Shihor",
  E313="Ghogha", "Bhavnagar",
  E313="Bhavnagar", "Bhavnagar"
)</f>
        <v>Palitana</v>
      </c>
      <c r="G313" s="4" t="s">
        <v>19</v>
      </c>
      <c r="H313" s="4">
        <v>221201</v>
      </c>
      <c r="I313" s="4">
        <v>1</v>
      </c>
      <c r="J313" s="5">
        <v>45903</v>
      </c>
      <c r="K313" s="5">
        <v>45915</v>
      </c>
      <c r="L313" s="5">
        <v>45916</v>
      </c>
      <c r="M313" s="7">
        <v>26757447.239999998</v>
      </c>
      <c r="N313" s="7">
        <v>22409362.059999999</v>
      </c>
      <c r="O313" s="8">
        <v>-16.25</v>
      </c>
      <c r="P313" s="8" t="str">
        <f>IF(O313&lt;0,"Below",IF(O313&gt;0,"Above","Equals"))</f>
        <v>Below</v>
      </c>
      <c r="Q313" s="4" t="s">
        <v>172</v>
      </c>
      <c r="R313" s="5">
        <v>45924</v>
      </c>
      <c r="S313" s="6" t="s">
        <v>744</v>
      </c>
      <c r="T313" s="14">
        <v>45938</v>
      </c>
      <c r="U313" s="12">
        <v>8</v>
      </c>
      <c r="V313" s="4">
        <v>1517</v>
      </c>
      <c r="W313" s="14">
        <v>45972</v>
      </c>
      <c r="X313" s="4" t="s">
        <v>50</v>
      </c>
      <c r="Y313" s="13">
        <v>297</v>
      </c>
      <c r="Z313" s="26">
        <v>46052</v>
      </c>
      <c r="AA313" s="4" t="s">
        <v>299</v>
      </c>
      <c r="AB313" s="4" t="s">
        <v>312</v>
      </c>
      <c r="AC313" s="33">
        <v>44863446706</v>
      </c>
      <c r="AD313" s="9">
        <v>1121000</v>
      </c>
      <c r="AE313" s="5">
        <v>46050</v>
      </c>
      <c r="AF313" s="4" t="s">
        <v>299</v>
      </c>
      <c r="AG313" s="4" t="s">
        <v>312</v>
      </c>
      <c r="AH313" s="33">
        <v>44869464990</v>
      </c>
      <c r="AI313" s="9">
        <v>335000</v>
      </c>
      <c r="AJ313" s="5">
        <v>46052</v>
      </c>
      <c r="AK313" s="4">
        <v>115</v>
      </c>
      <c r="AL313" s="14">
        <v>46052</v>
      </c>
    </row>
    <row r="314" spans="1:38" ht="43.5">
      <c r="A314" s="4" t="s">
        <v>50</v>
      </c>
      <c r="B314" s="4">
        <v>17</v>
      </c>
      <c r="C314" s="4">
        <v>12</v>
      </c>
      <c r="D314" s="6" t="s">
        <v>703</v>
      </c>
      <c r="E314" s="4" t="s">
        <v>10</v>
      </c>
      <c r="F314" s="4" t="str" cm="1">
        <f t="array" ref="F314">_xlfn.IFS(
  E314="Mahuva", "Mahuva",
  E314="Jesar", "Mahuva",
  E314="Palitana", "Palitana",
  E314="Gariyadhar", "Palitana",
  E314="Talaja", "Talaja",
  E314="Vallabhipur", "Vallabhipur",
  E314="Umrala", "Vallabhipur",
  E314="Shihor", "Shihor",
  E314="Ghogha", "Bhavnagar",
  E314="Bhavnagar", "Bhavnagar"
)</f>
        <v>Mahuva</v>
      </c>
      <c r="G314" s="4" t="s">
        <v>19</v>
      </c>
      <c r="H314" s="4">
        <v>221203</v>
      </c>
      <c r="I314" s="4">
        <v>1</v>
      </c>
      <c r="J314" s="5">
        <v>45903</v>
      </c>
      <c r="K314" s="5">
        <v>45915</v>
      </c>
      <c r="L314" s="5">
        <v>45916</v>
      </c>
      <c r="M314" s="7">
        <v>4285849.25</v>
      </c>
      <c r="N314" s="7">
        <v>3191243.35</v>
      </c>
      <c r="O314" s="8">
        <v>-25.54</v>
      </c>
      <c r="P314" s="8" t="str">
        <f>IF(O314&lt;0,"Below",IF(O314&gt;0,"Above","Equals"))</f>
        <v>Below</v>
      </c>
      <c r="Q314" s="4" t="s">
        <v>673</v>
      </c>
      <c r="R314" s="5"/>
      <c r="S314" s="6"/>
      <c r="U314" s="12">
        <v>4</v>
      </c>
      <c r="V314" s="4">
        <v>1415</v>
      </c>
      <c r="W314" s="14">
        <v>45933</v>
      </c>
      <c r="X314" s="4"/>
      <c r="Y314" s="13"/>
      <c r="Z314" s="13"/>
      <c r="AA314" s="4"/>
      <c r="AB314" s="4"/>
      <c r="AD314" s="9"/>
      <c r="AE314" s="5"/>
      <c r="AF314" s="11"/>
      <c r="AG314" s="11"/>
      <c r="AI314" s="9"/>
      <c r="AJ314" s="11"/>
      <c r="AK314" s="4"/>
    </row>
    <row r="315" spans="1:38" ht="43.5">
      <c r="A315" s="4" t="s">
        <v>50</v>
      </c>
      <c r="B315" s="4">
        <v>17</v>
      </c>
      <c r="C315" s="4">
        <v>13</v>
      </c>
      <c r="D315" s="6" t="s">
        <v>580</v>
      </c>
      <c r="E315" s="4" t="s">
        <v>0</v>
      </c>
      <c r="F315" s="4" t="str" cm="1">
        <f t="array" ref="F315">_xlfn.IFS(
  E315="Mahuva", "Mahuva",
  E315="Jesar", "Mahuva",
  E315="Palitana", "Palitana",
  E315="Gariyadhar", "Palitana",
  E315="Talaja", "Talaja",
  E315="Vallabhipur", "Vallabhipur",
  E315="Umrala", "Vallabhipur",
  E315="Shihor", "Shihor",
  E315="Ghogha", "Bhavnagar",
  E315="Bhavnagar", "Bhavnagar"
)</f>
        <v>Bhavnagar</v>
      </c>
      <c r="G315" s="4" t="s">
        <v>206</v>
      </c>
      <c r="H315" s="4">
        <v>221205</v>
      </c>
      <c r="I315" s="4">
        <v>3</v>
      </c>
      <c r="J315" s="5">
        <v>45903</v>
      </c>
      <c r="K315" s="5">
        <v>45915</v>
      </c>
      <c r="L315" s="5">
        <v>45916</v>
      </c>
      <c r="M315" s="7">
        <v>2079935.08</v>
      </c>
      <c r="N315" s="7">
        <v>2048528.06</v>
      </c>
      <c r="O315" s="8">
        <v>-1.51</v>
      </c>
      <c r="P315" s="8" t="str">
        <f>IF(O315&lt;0,"Below",IF(O315&gt;0,"Above","Equals"))</f>
        <v>Below</v>
      </c>
      <c r="Q315" s="4" t="s">
        <v>231</v>
      </c>
      <c r="R315" s="5"/>
      <c r="S315" s="6"/>
      <c r="U315" s="12">
        <v>4</v>
      </c>
      <c r="V315" s="4">
        <v>1416</v>
      </c>
      <c r="W315" s="14">
        <v>45933</v>
      </c>
      <c r="X315" s="4" t="s">
        <v>50</v>
      </c>
      <c r="Y315" s="13">
        <v>281</v>
      </c>
      <c r="Z315" s="26">
        <v>46042</v>
      </c>
      <c r="AA315" s="4" t="s">
        <v>299</v>
      </c>
      <c r="AB315" s="4" t="s">
        <v>312</v>
      </c>
      <c r="AC315" s="33">
        <v>44676070654</v>
      </c>
      <c r="AD315" s="9">
        <v>103000</v>
      </c>
      <c r="AE315" s="5">
        <v>46014</v>
      </c>
      <c r="AF315" s="11"/>
      <c r="AG315" s="11"/>
      <c r="AI315" s="9"/>
      <c r="AJ315" s="11"/>
      <c r="AK315" s="4">
        <v>75</v>
      </c>
      <c r="AL315" s="26">
        <v>46042</v>
      </c>
    </row>
    <row r="316" spans="1:38" ht="43.5">
      <c r="A316" s="4" t="s">
        <v>50</v>
      </c>
      <c r="B316" s="4">
        <v>17</v>
      </c>
      <c r="C316" s="4">
        <v>14</v>
      </c>
      <c r="D316" s="6" t="s">
        <v>707</v>
      </c>
      <c r="E316" s="4" t="s">
        <v>11</v>
      </c>
      <c r="F316" s="4" t="str" cm="1">
        <f t="array" ref="F316">_xlfn.IFS(
  E316="Mahuva", "Mahuva",
  E316="Jesar", "Mahuva",
  E316="Palitana", "Palitana",
  E316="Gariyadhar", "Palitana",
  E316="Talaja", "Talaja",
  E316="Vallabhipur", "Vallabhipur",
  E316="Umrala", "Vallabhipur",
  E316="Shihor", "Shihor",
  E316="Ghogha", "Bhavnagar",
  E316="Bhavnagar", "Bhavnagar"
)</f>
        <v>Shihor</v>
      </c>
      <c r="G316" s="4" t="s">
        <v>206</v>
      </c>
      <c r="H316" s="4">
        <v>221207</v>
      </c>
      <c r="I316" s="4">
        <v>3</v>
      </c>
      <c r="J316" s="5">
        <v>45903</v>
      </c>
      <c r="K316" s="5">
        <v>45915</v>
      </c>
      <c r="L316" s="5">
        <v>45916</v>
      </c>
      <c r="M316" s="7">
        <v>2079935.08</v>
      </c>
      <c r="N316" s="7">
        <v>1979682.21</v>
      </c>
      <c r="O316" s="8">
        <v>-4.82</v>
      </c>
      <c r="P316" s="8" t="str">
        <f>IF(O316&lt;0,"Below",IF(O316&gt;0,"Above","Equals"))</f>
        <v>Below</v>
      </c>
      <c r="Q316" s="4" t="s">
        <v>676</v>
      </c>
      <c r="R316" s="5"/>
      <c r="S316" s="6"/>
      <c r="U316" s="12">
        <v>4</v>
      </c>
      <c r="V316" s="4">
        <v>1414</v>
      </c>
      <c r="W316" s="14">
        <v>45933</v>
      </c>
      <c r="X316" s="4" t="s">
        <v>50</v>
      </c>
      <c r="Y316" s="13">
        <v>324</v>
      </c>
      <c r="Z316" s="26">
        <v>46088</v>
      </c>
      <c r="AA316" s="4" t="s">
        <v>299</v>
      </c>
      <c r="AB316" s="4" t="s">
        <v>312</v>
      </c>
      <c r="AC316" s="33" t="s">
        <v>1044</v>
      </c>
      <c r="AD316" s="9">
        <v>99000</v>
      </c>
      <c r="AE316" s="5">
        <v>46087</v>
      </c>
      <c r="AF316" s="11"/>
      <c r="AG316" s="11"/>
      <c r="AI316" s="9"/>
      <c r="AJ316" s="11"/>
      <c r="AK316" s="4">
        <v>328</v>
      </c>
      <c r="AL316" s="26">
        <v>46088</v>
      </c>
    </row>
    <row r="317" spans="1:38" ht="58">
      <c r="A317" s="4" t="s">
        <v>50</v>
      </c>
      <c r="B317" s="4">
        <v>17</v>
      </c>
      <c r="C317" s="4">
        <v>16</v>
      </c>
      <c r="D317" s="6" t="s">
        <v>936</v>
      </c>
      <c r="E317" s="4"/>
      <c r="F317" s="4" t="e" cm="1">
        <f t="array" ref="F317">_xlfn.IFS(
  E317="Mahuva", "Mahuva",
  E317="Jesar", "Mahuva",
  E317="Palitana", "Palitana",
  E317="Gariyadhar", "Palitana",
  E317="Talaja", "Talaja",
  E317="Vallabhipur", "Vallabhipur",
  E317="Umrala", "Vallabhipur",
  E317="Shihor", "Shihor",
  E317="Ghogha", "Bhavnagar",
  E317="Bhavnagar", "Bhavnagar"
)</f>
        <v>#N/A</v>
      </c>
      <c r="G317" s="4" t="s">
        <v>206</v>
      </c>
      <c r="H317" s="4">
        <v>221232</v>
      </c>
      <c r="I317" s="4">
        <v>11</v>
      </c>
      <c r="J317" s="5">
        <v>45903</v>
      </c>
      <c r="K317" s="5">
        <v>45915</v>
      </c>
      <c r="L317" s="5">
        <v>45916</v>
      </c>
      <c r="M317" s="7">
        <v>907910.21</v>
      </c>
      <c r="N317" s="7">
        <v>1458103.8</v>
      </c>
      <c r="O317" s="8">
        <v>60.6</v>
      </c>
      <c r="P317" s="8" t="str">
        <f>IF(O317&lt;0,"Below",IF(O317&gt;0,"Above","Equals"))</f>
        <v>Above</v>
      </c>
      <c r="Q317" s="4" t="s">
        <v>677</v>
      </c>
      <c r="R317" s="5"/>
      <c r="S317" s="6"/>
      <c r="U317" s="12"/>
      <c r="V317" s="4"/>
      <c r="W317" s="14" t="s">
        <v>935</v>
      </c>
      <c r="X317" s="4"/>
      <c r="Y317" s="13"/>
      <c r="Z317" s="13"/>
      <c r="AA317" s="4"/>
      <c r="AB317" s="4"/>
      <c r="AD317" s="9"/>
      <c r="AE317" s="5"/>
      <c r="AF317" s="11"/>
      <c r="AG317" s="11"/>
      <c r="AI317" s="9"/>
      <c r="AJ317" s="11"/>
      <c r="AK317" s="4"/>
    </row>
    <row r="318" spans="1:38" ht="58">
      <c r="A318" s="4" t="s">
        <v>50</v>
      </c>
      <c r="B318" s="4">
        <v>17</v>
      </c>
      <c r="C318" s="4">
        <v>17</v>
      </c>
      <c r="D318" s="6" t="s">
        <v>704</v>
      </c>
      <c r="E318" s="4" t="s">
        <v>0</v>
      </c>
      <c r="F318" s="4" t="str" cm="1">
        <f t="array" ref="F318">_xlfn.IFS(
  E318="Mahuva", "Mahuva",
  E318="Jesar", "Mahuva",
  E318="Palitana", "Palitana",
  E318="Gariyadhar", "Palitana",
  E318="Talaja", "Talaja",
  E318="Vallabhipur", "Vallabhipur",
  E318="Umrala", "Vallabhipur",
  E318="Shihor", "Shihor",
  E318="Ghogha", "Bhavnagar",
  E318="Bhavnagar", "Bhavnagar"
)</f>
        <v>Bhavnagar</v>
      </c>
      <c r="G318" s="4" t="s">
        <v>206</v>
      </c>
      <c r="H318" s="4">
        <v>221237</v>
      </c>
      <c r="I318" s="4"/>
      <c r="J318" s="5">
        <v>45903</v>
      </c>
      <c r="K318" s="5">
        <v>45915</v>
      </c>
      <c r="L318" s="5">
        <v>45916</v>
      </c>
      <c r="M318" s="7">
        <v>4253844.58</v>
      </c>
      <c r="N318" s="7">
        <v>7971704.7400000002</v>
      </c>
      <c r="O318" s="8">
        <v>87.4</v>
      </c>
      <c r="P318" s="8" t="str">
        <f>IF(O318&lt;0,"Below",IF(O318&gt;0,"Above","Equals"))</f>
        <v>Above</v>
      </c>
      <c r="Q318" s="4" t="s">
        <v>672</v>
      </c>
      <c r="R318" s="5"/>
      <c r="S318" s="6"/>
      <c r="U318" s="12"/>
      <c r="V318" s="4"/>
      <c r="W318" s="14" t="s">
        <v>935</v>
      </c>
      <c r="X318" s="4"/>
      <c r="Y318" s="13"/>
      <c r="Z318" s="13"/>
      <c r="AA318" s="4"/>
      <c r="AB318" s="4"/>
      <c r="AD318" s="9"/>
      <c r="AE318" s="5"/>
      <c r="AF318" s="11"/>
      <c r="AG318" s="11"/>
      <c r="AI318" s="9"/>
      <c r="AJ318" s="11"/>
      <c r="AK318" s="4"/>
    </row>
    <row r="319" spans="1:38" ht="29">
      <c r="A319" s="4" t="str">
        <f>A318</f>
        <v>2025-26</v>
      </c>
      <c r="B319" s="4">
        <f>B318</f>
        <v>17</v>
      </c>
      <c r="C319" s="4">
        <f>C318+1</f>
        <v>18</v>
      </c>
      <c r="D319" s="6" t="s">
        <v>1194</v>
      </c>
      <c r="E319" s="4" t="s">
        <v>0</v>
      </c>
      <c r="F319" s="4" t="str" cm="1">
        <f t="array" ref="F319">_xlfn.IFS(
  E319="Mahuva", "Mahuva",
  E319="Jesar", "Mahuva",
  E319="Palitana", "Palitana",
  E319="Gariyadhar", "Palitana",
  E319="Talaja", "Talaja",
  E319="Vallabhipur", "Vallabhipur",
  E319="Umrala", "Vallabhipur",
  E319="Shihor", "Shihor",
  E319="Ghogha", "Bhavnagar",
  E319="Bhavnagar", "Bhavnagar"
)</f>
        <v>Bhavnagar</v>
      </c>
      <c r="G319" s="4" t="s">
        <v>206</v>
      </c>
      <c r="H319" s="4">
        <v>305407</v>
      </c>
      <c r="I319" s="4">
        <v>1</v>
      </c>
      <c r="M319" s="7">
        <v>572801.49</v>
      </c>
      <c r="N319" s="7">
        <v>481611.49</v>
      </c>
      <c r="O319" s="8">
        <v>-15.92</v>
      </c>
      <c r="P319" s="8" t="str">
        <f>IF(O319&lt;0,"Below",IF(O319&gt;0,"Above","Equals"))</f>
        <v>Below</v>
      </c>
      <c r="Q319" s="4" t="s">
        <v>1207</v>
      </c>
      <c r="R319" s="5"/>
      <c r="S319" s="15"/>
      <c r="U319" s="12">
        <v>3</v>
      </c>
      <c r="V319" s="4">
        <v>670</v>
      </c>
      <c r="W319" s="14">
        <v>46188</v>
      </c>
      <c r="X319" s="4"/>
      <c r="Y319" s="13"/>
      <c r="Z319" s="13"/>
      <c r="AA319" s="4"/>
      <c r="AB319" s="4"/>
      <c r="AD319" s="9"/>
      <c r="AE319" s="5"/>
      <c r="AF319" s="11"/>
      <c r="AG319" s="11"/>
      <c r="AI319" s="9"/>
      <c r="AJ319" s="11"/>
      <c r="AK319" s="4"/>
    </row>
    <row r="320" spans="1:38" ht="43.5">
      <c r="A320" s="4" t="s">
        <v>50</v>
      </c>
      <c r="B320" s="4">
        <v>17</v>
      </c>
      <c r="C320" s="4">
        <v>20</v>
      </c>
      <c r="D320" s="6" t="s">
        <v>705</v>
      </c>
      <c r="E320" s="4" t="s">
        <v>10</v>
      </c>
      <c r="F320" s="4" t="str" cm="1">
        <f t="array" ref="F320">_xlfn.IFS(
  E320="Mahuva", "Mahuva",
  E320="Jesar", "Mahuva",
  E320="Palitana", "Palitana",
  E320="Gariyadhar", "Palitana",
  E320="Talaja", "Talaja",
  E320="Vallabhipur", "Vallabhipur",
  E320="Umrala", "Vallabhipur",
  E320="Shihor", "Shihor",
  E320="Ghogha", "Bhavnagar",
  E320="Bhavnagar", "Bhavnagar"
)</f>
        <v>Mahuva</v>
      </c>
      <c r="G320" s="4" t="s">
        <v>206</v>
      </c>
      <c r="H320" s="4">
        <v>221249</v>
      </c>
      <c r="I320" s="4">
        <v>5</v>
      </c>
      <c r="J320" s="5">
        <v>45903</v>
      </c>
      <c r="K320" s="5">
        <v>45915</v>
      </c>
      <c r="L320" s="5">
        <v>45916</v>
      </c>
      <c r="M320" s="7">
        <v>1024912.96</v>
      </c>
      <c r="N320" s="7">
        <v>961163.37</v>
      </c>
      <c r="O320" s="8">
        <v>-6.22</v>
      </c>
      <c r="P320" s="8" t="str">
        <f>IF(O320&lt;0,"Below",IF(O320&gt;0,"Above","Equals"))</f>
        <v>Below</v>
      </c>
      <c r="Q320" s="4" t="s">
        <v>351</v>
      </c>
      <c r="R320" s="5"/>
      <c r="S320" s="6"/>
      <c r="U320" s="12">
        <v>3</v>
      </c>
      <c r="V320" s="4">
        <v>1413</v>
      </c>
      <c r="W320" s="14">
        <v>45933</v>
      </c>
      <c r="X320" s="4"/>
      <c r="Y320" s="13"/>
      <c r="Z320" s="13"/>
      <c r="AA320" s="4"/>
      <c r="AB320" s="4"/>
      <c r="AD320" s="9"/>
      <c r="AE320" s="5"/>
      <c r="AF320" s="11"/>
      <c r="AG320" s="11"/>
      <c r="AI320" s="9"/>
      <c r="AJ320" s="11"/>
      <c r="AK320" s="4"/>
    </row>
    <row r="321" spans="1:38" ht="43.5">
      <c r="A321" s="4" t="s">
        <v>50</v>
      </c>
      <c r="B321" s="4">
        <v>17</v>
      </c>
      <c r="C321" s="4">
        <v>21</v>
      </c>
      <c r="D321" s="6" t="s">
        <v>706</v>
      </c>
      <c r="E321" s="4" t="s">
        <v>11</v>
      </c>
      <c r="F321" s="4" t="str" cm="1">
        <f t="array" ref="F321">_xlfn.IFS(
  E321="Mahuva", "Mahuva",
  E321="Jesar", "Mahuva",
  E321="Palitana", "Palitana",
  E321="Gariyadhar", "Palitana",
  E321="Talaja", "Talaja",
  E321="Vallabhipur", "Vallabhipur",
  E321="Umrala", "Vallabhipur",
  E321="Shihor", "Shihor",
  E321="Ghogha", "Bhavnagar",
  E321="Bhavnagar", "Bhavnagar"
)</f>
        <v>Shihor</v>
      </c>
      <c r="G321" s="4" t="s">
        <v>19</v>
      </c>
      <c r="H321" s="4">
        <v>221654</v>
      </c>
      <c r="I321" s="4">
        <v>1</v>
      </c>
      <c r="J321" s="5">
        <v>45903</v>
      </c>
      <c r="K321" s="5">
        <v>45915</v>
      </c>
      <c r="L321" s="5">
        <v>45916</v>
      </c>
      <c r="M321" s="7">
        <v>12537845.210000001</v>
      </c>
      <c r="N321" s="7">
        <v>10843982.32</v>
      </c>
      <c r="O321" s="8">
        <v>-13.51</v>
      </c>
      <c r="P321" s="8" t="str">
        <f>IF(O321&lt;0,"Below",IF(O321&gt;0,"Above","Equals"))</f>
        <v>Below</v>
      </c>
      <c r="Q321" s="4" t="s">
        <v>172</v>
      </c>
      <c r="R321" s="5">
        <v>45924</v>
      </c>
      <c r="S321" s="15" t="s">
        <v>710</v>
      </c>
      <c r="T321" s="14">
        <v>45903</v>
      </c>
      <c r="U321" s="12">
        <v>6</v>
      </c>
      <c r="V321" s="4">
        <v>1514</v>
      </c>
      <c r="W321" s="14">
        <v>45972</v>
      </c>
      <c r="X321" s="4" t="s">
        <v>50</v>
      </c>
      <c r="Y321" s="13">
        <v>298</v>
      </c>
      <c r="Z321" s="26">
        <v>46052</v>
      </c>
      <c r="AA321" s="4" t="s">
        <v>299</v>
      </c>
      <c r="AB321" s="4" t="s">
        <v>312</v>
      </c>
      <c r="AC321" s="33">
        <v>44863324903</v>
      </c>
      <c r="AD321" s="9">
        <v>543000</v>
      </c>
      <c r="AE321" s="5">
        <v>46050</v>
      </c>
      <c r="AF321" s="4" t="s">
        <v>299</v>
      </c>
      <c r="AG321" s="4" t="s">
        <v>312</v>
      </c>
      <c r="AH321" s="33">
        <v>44869444000</v>
      </c>
      <c r="AI321" s="9">
        <v>89000</v>
      </c>
      <c r="AJ321" s="5">
        <v>46052</v>
      </c>
      <c r="AK321" s="4">
        <v>116</v>
      </c>
      <c r="AL321" s="14">
        <v>46052</v>
      </c>
    </row>
    <row r="322" spans="1:38" ht="43.5">
      <c r="A322" s="4" t="s">
        <v>50</v>
      </c>
      <c r="B322" s="4">
        <v>18</v>
      </c>
      <c r="C322" s="4">
        <v>1</v>
      </c>
      <c r="D322" s="6" t="s">
        <v>759</v>
      </c>
      <c r="E322" s="4"/>
      <c r="F322" s="4"/>
      <c r="G322" s="4" t="s">
        <v>811</v>
      </c>
      <c r="H322" s="4">
        <v>220895</v>
      </c>
      <c r="I322" s="4">
        <v>1</v>
      </c>
      <c r="J322" s="5">
        <v>45903</v>
      </c>
      <c r="K322" s="5">
        <v>45915</v>
      </c>
      <c r="L322" s="5">
        <v>45916</v>
      </c>
      <c r="M322" s="7">
        <v>0</v>
      </c>
      <c r="N322" s="7">
        <v>0</v>
      </c>
      <c r="O322" s="8">
        <v>0</v>
      </c>
      <c r="P322" s="8" t="str">
        <f>IF(O322&lt;0,"Below",IF(O322&gt;0,"Above","Equals"))</f>
        <v>Equals</v>
      </c>
      <c r="R322" s="5"/>
      <c r="S322" s="6"/>
      <c r="U322" s="12">
        <v>12</v>
      </c>
      <c r="V322" s="4"/>
      <c r="W322" s="14" t="s">
        <v>1016</v>
      </c>
      <c r="X322" s="4"/>
      <c r="Y322" s="13"/>
      <c r="Z322" s="13"/>
      <c r="AA322" s="4"/>
      <c r="AB322" s="4"/>
      <c r="AD322" s="9"/>
      <c r="AE322" s="5"/>
      <c r="AF322" s="11"/>
      <c r="AG322" s="11"/>
      <c r="AI322" s="9"/>
      <c r="AJ322" s="11"/>
      <c r="AK322" s="4"/>
    </row>
    <row r="323" spans="1:38" ht="58">
      <c r="A323" s="4" t="s">
        <v>50</v>
      </c>
      <c r="B323" s="4">
        <v>19</v>
      </c>
      <c r="C323" s="4">
        <v>1</v>
      </c>
      <c r="D323" s="6" t="s">
        <v>763</v>
      </c>
      <c r="E323" s="4"/>
      <c r="F323" s="4" t="e" cm="1">
        <f t="array" ref="F323">_xlfn.IFS(
  E323="Mahuva", "Mahuva",
  E323="Jesar", "Mahuva",
  E323="Palitana", "Palitana",
  E323="Gariyadhar", "Palitana",
  E323="Talaja", "Talaja",
  E323="Vallabhipur", "Vallabhipur",
  E323="Umrala", "Vallabhipur",
  E323="Shihor", "Shihor",
  E323="Ghogha", "Bhavnagar",
  E323="Bhavnagar", "Bhavnagar"
)</f>
        <v>#N/A</v>
      </c>
      <c r="G323" s="4" t="s">
        <v>811</v>
      </c>
      <c r="H323" s="4">
        <v>220914</v>
      </c>
      <c r="I323" s="4">
        <v>1</v>
      </c>
      <c r="J323" s="5">
        <v>45903</v>
      </c>
      <c r="O323" s="8"/>
      <c r="P323" s="8" t="str">
        <f>IF(O323&lt;0,"Below",IF(O323&gt;0,"Above","Equals"))</f>
        <v>Equals</v>
      </c>
      <c r="R323" s="5"/>
      <c r="S323" s="6"/>
      <c r="U323" s="12"/>
      <c r="V323" s="4"/>
      <c r="W323" s="14" t="s">
        <v>1016</v>
      </c>
      <c r="X323" s="4"/>
      <c r="Y323" s="13"/>
      <c r="Z323" s="13"/>
      <c r="AA323" s="4"/>
      <c r="AB323" s="4"/>
      <c r="AD323" s="9"/>
      <c r="AE323" s="5"/>
      <c r="AF323" s="11"/>
      <c r="AG323" s="11"/>
      <c r="AI323" s="9"/>
      <c r="AJ323" s="11"/>
      <c r="AK323" s="4"/>
    </row>
    <row r="324" spans="1:38" ht="58">
      <c r="A324" s="4" t="s">
        <v>50</v>
      </c>
      <c r="B324" s="4">
        <v>19</v>
      </c>
      <c r="C324" s="4">
        <v>2</v>
      </c>
      <c r="D324" s="6" t="s">
        <v>764</v>
      </c>
      <c r="E324" s="4"/>
      <c r="F324" s="4" t="e" cm="1">
        <f t="array" ref="F324">_xlfn.IFS(
  E324="Mahuva", "Mahuva",
  E324="Jesar", "Mahuva",
  E324="Palitana", "Palitana",
  E324="Gariyadhar", "Palitana",
  E324="Talaja", "Talaja",
  E324="Vallabhipur", "Vallabhipur",
  E324="Umrala", "Vallabhipur",
  E324="Shihor", "Shihor",
  E324="Ghogha", "Bhavnagar",
  E324="Bhavnagar", "Bhavnagar"
)</f>
        <v>#N/A</v>
      </c>
      <c r="G324" s="4" t="s">
        <v>811</v>
      </c>
      <c r="H324" s="4">
        <v>220930</v>
      </c>
      <c r="I324" s="4">
        <v>1</v>
      </c>
      <c r="J324" s="5">
        <v>45903</v>
      </c>
      <c r="O324" s="8"/>
      <c r="P324" s="8" t="str">
        <f>IF(O324&lt;0,"Below",IF(O324&gt;0,"Above","Equals"))</f>
        <v>Equals</v>
      </c>
      <c r="R324" s="5"/>
      <c r="S324" s="6"/>
      <c r="U324" s="12"/>
      <c r="V324" s="4"/>
      <c r="W324" s="14" t="s">
        <v>1016</v>
      </c>
      <c r="X324" s="4"/>
      <c r="Y324" s="13"/>
      <c r="Z324" s="13"/>
      <c r="AA324" s="4"/>
      <c r="AB324" s="4"/>
      <c r="AD324" s="9"/>
      <c r="AE324" s="5"/>
      <c r="AF324" s="11"/>
      <c r="AG324" s="11"/>
      <c r="AI324" s="9"/>
      <c r="AJ324" s="11"/>
      <c r="AK324" s="4"/>
    </row>
    <row r="325" spans="1:38" ht="58">
      <c r="A325" s="4" t="s">
        <v>50</v>
      </c>
      <c r="B325" s="4">
        <v>19</v>
      </c>
      <c r="C325" s="4">
        <v>3</v>
      </c>
      <c r="D325" s="6" t="s">
        <v>765</v>
      </c>
      <c r="E325" s="4"/>
      <c r="F325" s="4" t="e" cm="1">
        <f t="array" ref="F325">_xlfn.IFS(
  E325="Mahuva", "Mahuva",
  E325="Jesar", "Mahuva",
  E325="Palitana", "Palitana",
  E325="Gariyadhar", "Palitana",
  E325="Talaja", "Talaja",
  E325="Vallabhipur", "Vallabhipur",
  E325="Umrala", "Vallabhipur",
  E325="Shihor", "Shihor",
  E325="Ghogha", "Bhavnagar",
  E325="Bhavnagar", "Bhavnagar"
)</f>
        <v>#N/A</v>
      </c>
      <c r="G325" s="4" t="s">
        <v>811</v>
      </c>
      <c r="H325" s="4">
        <v>220932</v>
      </c>
      <c r="I325" s="4">
        <v>1</v>
      </c>
      <c r="J325" s="5">
        <v>45903</v>
      </c>
      <c r="O325" s="8"/>
      <c r="P325" s="8" t="str">
        <f>IF(O325&lt;0,"Below",IF(O325&gt;0,"Above","Equals"))</f>
        <v>Equals</v>
      </c>
      <c r="R325" s="5"/>
      <c r="S325" s="6"/>
      <c r="U325" s="12"/>
      <c r="V325" s="4"/>
      <c r="W325" s="14" t="s">
        <v>1016</v>
      </c>
      <c r="X325" s="4"/>
      <c r="Y325" s="13"/>
      <c r="Z325" s="13"/>
      <c r="AA325" s="4"/>
      <c r="AB325" s="4"/>
      <c r="AD325" s="9"/>
      <c r="AE325" s="5"/>
      <c r="AF325" s="11"/>
      <c r="AG325" s="11"/>
      <c r="AI325" s="9"/>
      <c r="AJ325" s="11"/>
      <c r="AK325" s="4"/>
    </row>
    <row r="326" spans="1:38" ht="58">
      <c r="A326" s="4" t="s">
        <v>50</v>
      </c>
      <c r="B326" s="4">
        <v>19</v>
      </c>
      <c r="C326" s="4">
        <v>4</v>
      </c>
      <c r="D326" s="6" t="s">
        <v>766</v>
      </c>
      <c r="E326" s="4"/>
      <c r="F326" s="4" t="e" cm="1">
        <f t="array" ref="F326">_xlfn.IFS(
  E326="Mahuva", "Mahuva",
  E326="Jesar", "Mahuva",
  E326="Palitana", "Palitana",
  E326="Gariyadhar", "Palitana",
  E326="Talaja", "Talaja",
  E326="Vallabhipur", "Vallabhipur",
  E326="Umrala", "Vallabhipur",
  E326="Shihor", "Shihor",
  E326="Ghogha", "Bhavnagar",
  E326="Bhavnagar", "Bhavnagar"
)</f>
        <v>#N/A</v>
      </c>
      <c r="G326" s="4" t="s">
        <v>811</v>
      </c>
      <c r="H326" s="4">
        <v>220934</v>
      </c>
      <c r="I326" s="4">
        <v>1</v>
      </c>
      <c r="J326" s="5">
        <v>45903</v>
      </c>
      <c r="O326" s="8"/>
      <c r="P326" s="8" t="str">
        <f>IF(O326&lt;0,"Below",IF(O326&gt;0,"Above","Equals"))</f>
        <v>Equals</v>
      </c>
      <c r="R326" s="5"/>
      <c r="S326" s="6"/>
      <c r="U326" s="12"/>
      <c r="V326" s="4"/>
      <c r="W326" s="14" t="s">
        <v>1016</v>
      </c>
      <c r="X326" s="4"/>
      <c r="Y326" s="13"/>
      <c r="Z326" s="13"/>
      <c r="AA326" s="4"/>
      <c r="AB326" s="4"/>
      <c r="AD326" s="9"/>
      <c r="AE326" s="5"/>
      <c r="AF326" s="11"/>
      <c r="AG326" s="11"/>
      <c r="AI326" s="9"/>
      <c r="AJ326" s="11"/>
      <c r="AK326" s="4"/>
    </row>
    <row r="327" spans="1:38" ht="58">
      <c r="A327" s="4" t="s">
        <v>50</v>
      </c>
      <c r="B327" s="4">
        <v>19</v>
      </c>
      <c r="C327" s="4">
        <v>5</v>
      </c>
      <c r="D327" s="6" t="s">
        <v>768</v>
      </c>
      <c r="E327" s="4"/>
      <c r="F327" s="4" t="e" cm="1">
        <f t="array" ref="F327">_xlfn.IFS(
  E327="Mahuva", "Mahuva",
  E327="Jesar", "Mahuva",
  E327="Palitana", "Palitana",
  E327="Gariyadhar", "Palitana",
  E327="Talaja", "Talaja",
  E327="Vallabhipur", "Vallabhipur",
  E327="Umrala", "Vallabhipur",
  E327="Shihor", "Shihor",
  E327="Ghogha", "Bhavnagar",
  E327="Bhavnagar", "Bhavnagar"
)</f>
        <v>#N/A</v>
      </c>
      <c r="G327" s="4" t="s">
        <v>811</v>
      </c>
      <c r="H327" s="4">
        <v>220941</v>
      </c>
      <c r="I327" s="4">
        <v>1</v>
      </c>
      <c r="J327" s="5">
        <v>45903</v>
      </c>
      <c r="O327" s="8"/>
      <c r="P327" s="8" t="str">
        <f>IF(O327&lt;0,"Below",IF(O327&gt;0,"Above","Equals"))</f>
        <v>Equals</v>
      </c>
      <c r="R327" s="5"/>
      <c r="S327" s="6"/>
      <c r="U327" s="12"/>
      <c r="V327" s="4"/>
      <c r="W327" s="14" t="s">
        <v>1016</v>
      </c>
      <c r="X327" s="4"/>
      <c r="Y327" s="13"/>
      <c r="Z327" s="13"/>
      <c r="AA327" s="4"/>
      <c r="AB327" s="4"/>
      <c r="AD327" s="9"/>
      <c r="AE327" s="5"/>
      <c r="AF327" s="11"/>
      <c r="AG327" s="11"/>
      <c r="AI327" s="9"/>
      <c r="AJ327" s="11"/>
      <c r="AK327" s="4"/>
    </row>
    <row r="328" spans="1:38" ht="58">
      <c r="A328" s="4" t="s">
        <v>50</v>
      </c>
      <c r="B328" s="4">
        <v>19</v>
      </c>
      <c r="C328" s="4">
        <v>6</v>
      </c>
      <c r="D328" s="6" t="s">
        <v>767</v>
      </c>
      <c r="E328" s="4"/>
      <c r="F328" s="4" t="e" cm="1">
        <f t="array" ref="F328">_xlfn.IFS(
  E328="Mahuva", "Mahuva",
  E328="Jesar", "Mahuva",
  E328="Palitana", "Palitana",
  E328="Gariyadhar", "Palitana",
  E328="Talaja", "Talaja",
  E328="Vallabhipur", "Vallabhipur",
  E328="Umrala", "Vallabhipur",
  E328="Shihor", "Shihor",
  E328="Ghogha", "Bhavnagar",
  E328="Bhavnagar", "Bhavnagar"
)</f>
        <v>#N/A</v>
      </c>
      <c r="G328" s="4" t="s">
        <v>811</v>
      </c>
      <c r="I328" s="4">
        <v>1</v>
      </c>
      <c r="J328" s="5">
        <v>45903</v>
      </c>
      <c r="O328" s="8"/>
      <c r="P328" s="8" t="str">
        <f>IF(O328&lt;0,"Below",IF(O328&gt;0,"Above","Equals"))</f>
        <v>Equals</v>
      </c>
      <c r="R328" s="5"/>
      <c r="S328" s="6"/>
      <c r="U328" s="12"/>
      <c r="V328" s="4"/>
      <c r="W328" s="14" t="s">
        <v>1016</v>
      </c>
      <c r="X328" s="4"/>
      <c r="Y328" s="13"/>
      <c r="Z328" s="13"/>
      <c r="AA328" s="4"/>
      <c r="AB328" s="4"/>
      <c r="AD328" s="9"/>
      <c r="AE328" s="5"/>
      <c r="AF328" s="11"/>
      <c r="AG328" s="11"/>
      <c r="AI328" s="9"/>
      <c r="AJ328" s="11"/>
      <c r="AK328" s="4"/>
    </row>
    <row r="329" spans="1:38" ht="43.5">
      <c r="A329" s="4" t="s">
        <v>50</v>
      </c>
      <c r="B329" s="4">
        <v>21</v>
      </c>
      <c r="C329" s="4">
        <v>1</v>
      </c>
      <c r="D329" s="6" t="s">
        <v>775</v>
      </c>
      <c r="E329" s="4" t="s">
        <v>10</v>
      </c>
      <c r="F329" s="4" t="str" cm="1">
        <f t="array" ref="F329">_xlfn.IFS(
  E329="Mahuva", "Mahuva",
  E329="Jesar", "Mahuva",
  E329="Palitana", "Palitana",
  E329="Gariyadhar", "Palitana",
  E329="Talaja", "Talaja",
  E329="Vallabhipur", "Vallabhipur",
  E329="Umrala", "Vallabhipur",
  E329="Shihor", "Shihor",
  E329="Ghogha", "Bhavnagar",
  E329="Bhavnagar", "Bhavnagar"
)</f>
        <v>Mahuva</v>
      </c>
      <c r="G329" s="4" t="s">
        <v>19</v>
      </c>
      <c r="H329" s="4">
        <v>236916</v>
      </c>
      <c r="I329" s="4">
        <v>2</v>
      </c>
      <c r="J329" s="5">
        <v>45948</v>
      </c>
      <c r="K329" s="5">
        <v>45964</v>
      </c>
      <c r="L329" s="5">
        <v>45965</v>
      </c>
      <c r="O329" s="8"/>
      <c r="P329" s="8" t="str">
        <f>IF(O329&lt;0,"Below",IF(O329&gt;0,"Above","Equals"))</f>
        <v>Equals</v>
      </c>
      <c r="R329" s="5"/>
      <c r="S329" s="6"/>
      <c r="U329" s="12"/>
      <c r="V329" s="4"/>
      <c r="X329" s="4"/>
      <c r="Y329" s="13"/>
      <c r="Z329" s="13"/>
      <c r="AA329" s="4"/>
      <c r="AB329" s="4"/>
      <c r="AD329" s="9"/>
      <c r="AE329" s="5"/>
      <c r="AF329" s="11"/>
      <c r="AG329" s="11"/>
      <c r="AI329" s="9"/>
      <c r="AJ329" s="11"/>
      <c r="AK329" s="4"/>
    </row>
    <row r="330" spans="1:38" ht="72.5">
      <c r="A330" s="4" t="s">
        <v>50</v>
      </c>
      <c r="B330" s="4">
        <v>21</v>
      </c>
      <c r="C330" s="4">
        <v>2</v>
      </c>
      <c r="D330" s="6" t="s">
        <v>776</v>
      </c>
      <c r="E330" s="4" t="s">
        <v>207</v>
      </c>
      <c r="F330" s="4" t="str" cm="1">
        <f t="array" ref="F330">_xlfn.IFS(
  E330="Mahuva", "Mahuva",
  E330="Jesar", "Mahuva",
  E330="Palitana", "Palitana",
  E330="Gariyadhar", "Palitana",
  E330="Talaja", "Talaja",
  E330="Vallabhipur", "Vallabhipur",
  E330="Umrala", "Vallabhipur",
  E330="Shihor", "Shihor",
  E330="Ghogha", "Bhavnagar",
  E330="Bhavnagar", "Bhavnagar"
)</f>
        <v>Palitana</v>
      </c>
      <c r="G330" s="4" t="s">
        <v>206</v>
      </c>
      <c r="H330" s="4">
        <v>236938</v>
      </c>
      <c r="I330" s="4">
        <v>12</v>
      </c>
      <c r="J330" s="5">
        <v>45948</v>
      </c>
      <c r="K330" s="5">
        <v>45964</v>
      </c>
      <c r="L330" s="5">
        <v>45965</v>
      </c>
      <c r="M330" s="7">
        <v>1325265.3700000001</v>
      </c>
      <c r="N330" s="7">
        <v>1656449.19</v>
      </c>
      <c r="O330" s="8">
        <v>24.99</v>
      </c>
      <c r="P330" s="8" t="str">
        <f>IF(O330&lt;0,"Below",IF(O330&gt;0,"Above","Equals"))</f>
        <v>Above</v>
      </c>
      <c r="Q330" s="4" t="s">
        <v>977</v>
      </c>
      <c r="R330" s="5"/>
      <c r="S330" s="6"/>
      <c r="U330" s="12"/>
      <c r="V330" s="4"/>
      <c r="W330" s="14" t="s">
        <v>977</v>
      </c>
      <c r="X330" s="4"/>
      <c r="Y330" s="13"/>
      <c r="Z330" s="13"/>
      <c r="AA330" s="4"/>
      <c r="AB330" s="4"/>
      <c r="AD330" s="9"/>
      <c r="AE330" s="5"/>
      <c r="AF330" s="11"/>
      <c r="AG330" s="11"/>
      <c r="AI330" s="9"/>
      <c r="AJ330" s="11"/>
      <c r="AK330" s="4"/>
    </row>
    <row r="331" spans="1:38" ht="43.5">
      <c r="A331" s="4" t="s">
        <v>50</v>
      </c>
      <c r="B331" s="4">
        <v>21</v>
      </c>
      <c r="C331" s="4">
        <v>3</v>
      </c>
      <c r="D331" s="6" t="s">
        <v>777</v>
      </c>
      <c r="E331" s="4" t="s">
        <v>0</v>
      </c>
      <c r="F331" s="4" t="str" cm="1">
        <f t="array" ref="F331">_xlfn.IFS(
  E331="Mahuva", "Mahuva",
  E331="Jesar", "Mahuva",
  E331="Palitana", "Palitana",
  E331="Gariyadhar", "Palitana",
  E331="Talaja", "Talaja",
  E331="Vallabhipur", "Vallabhipur",
  E331="Umrala", "Vallabhipur",
  E331="Shihor", "Shihor",
  E331="Ghogha", "Bhavnagar",
  E331="Bhavnagar", "Bhavnagar"
)</f>
        <v>Bhavnagar</v>
      </c>
      <c r="G331" s="4" t="s">
        <v>206</v>
      </c>
      <c r="H331" s="4">
        <v>236956</v>
      </c>
      <c r="I331" s="4">
        <v>6</v>
      </c>
      <c r="J331" s="5">
        <v>45948</v>
      </c>
      <c r="K331" s="5">
        <v>45964</v>
      </c>
      <c r="L331" s="5">
        <v>45965</v>
      </c>
      <c r="M331" s="7">
        <v>1024912.96</v>
      </c>
      <c r="N331" s="7">
        <v>1144827.78</v>
      </c>
      <c r="O331" s="8">
        <v>11.7</v>
      </c>
      <c r="P331" s="8" t="str">
        <f>IF(O331&lt;0,"Below",IF(O331&gt;0,"Above","Equals"))</f>
        <v>Above</v>
      </c>
      <c r="Q331" s="4" t="s">
        <v>977</v>
      </c>
      <c r="R331" s="5"/>
      <c r="S331" s="6"/>
      <c r="U331" s="12"/>
      <c r="V331" s="4"/>
      <c r="W331" s="14" t="s">
        <v>977</v>
      </c>
      <c r="X331" s="4"/>
      <c r="Y331" s="13"/>
      <c r="Z331" s="13"/>
      <c r="AA331" s="4"/>
      <c r="AB331" s="4"/>
      <c r="AD331" s="9"/>
      <c r="AE331" s="5"/>
      <c r="AF331" s="11"/>
      <c r="AG331" s="11"/>
      <c r="AI331" s="9"/>
      <c r="AJ331" s="11"/>
      <c r="AK331" s="4"/>
    </row>
    <row r="332" spans="1:38" ht="43.5">
      <c r="A332" s="4" t="s">
        <v>50</v>
      </c>
      <c r="B332" s="4">
        <v>21</v>
      </c>
      <c r="C332" s="4">
        <v>4</v>
      </c>
      <c r="D332" s="6" t="s">
        <v>788</v>
      </c>
      <c r="E332" s="4" t="s">
        <v>10</v>
      </c>
      <c r="F332" s="4" t="str" cm="1">
        <f t="array" ref="F332">_xlfn.IFS(
  E332="Mahuva", "Mahuva",
  E332="Jesar", "Mahuva",
  E332="Palitana", "Palitana",
  E332="Gariyadhar", "Palitana",
  E332="Talaja", "Talaja",
  E332="Vallabhipur", "Vallabhipur",
  E332="Umrala", "Vallabhipur",
  E332="Shihor", "Shihor",
  E332="Ghogha", "Bhavnagar",
  E332="Bhavnagar", "Bhavnagar"
)</f>
        <v>Mahuva</v>
      </c>
      <c r="G332" s="4" t="s">
        <v>206</v>
      </c>
      <c r="H332" s="4">
        <v>236982</v>
      </c>
      <c r="I332" s="4">
        <v>6</v>
      </c>
      <c r="J332" s="5">
        <v>45948</v>
      </c>
      <c r="K332" s="5">
        <v>45964</v>
      </c>
      <c r="L332" s="5">
        <v>45965</v>
      </c>
      <c r="M332" s="7">
        <v>1024912.96</v>
      </c>
      <c r="N332" s="7">
        <v>944354.8</v>
      </c>
      <c r="O332" s="8">
        <v>-7.86</v>
      </c>
      <c r="P332" s="8" t="str">
        <f>IF(O332&lt;0,"Below",IF(O332&gt;0,"Above","Equals"))</f>
        <v>Below</v>
      </c>
      <c r="Q332" s="4" t="s">
        <v>778</v>
      </c>
      <c r="R332" s="5"/>
      <c r="S332" s="6"/>
      <c r="U332" s="12">
        <v>3</v>
      </c>
      <c r="V332" s="4">
        <v>1555</v>
      </c>
      <c r="W332" s="14">
        <v>45981</v>
      </c>
      <c r="X332" s="4" t="s">
        <v>50</v>
      </c>
      <c r="Y332" s="13">
        <v>280</v>
      </c>
      <c r="Z332" s="26">
        <v>46042</v>
      </c>
      <c r="AA332" s="4" t="s">
        <v>299</v>
      </c>
      <c r="AB332" s="4" t="s">
        <v>712</v>
      </c>
      <c r="AC332" s="33" t="s">
        <v>964</v>
      </c>
      <c r="AD332" s="9">
        <v>48000</v>
      </c>
      <c r="AE332" s="5">
        <v>46007</v>
      </c>
      <c r="AF332" s="11"/>
      <c r="AG332" s="11"/>
      <c r="AI332" s="9"/>
      <c r="AJ332" s="11"/>
      <c r="AK332" s="4">
        <v>74</v>
      </c>
      <c r="AL332" s="14">
        <v>46042</v>
      </c>
    </row>
    <row r="333" spans="1:38" ht="43.5">
      <c r="A333" s="4" t="s">
        <v>50</v>
      </c>
      <c r="B333" s="4">
        <v>21</v>
      </c>
      <c r="C333" s="4">
        <v>5</v>
      </c>
      <c r="D333" s="6" t="s">
        <v>789</v>
      </c>
      <c r="E333" s="4" t="s">
        <v>228</v>
      </c>
      <c r="F333" s="4" t="str" cm="1">
        <f t="array" ref="F333">_xlfn.IFS(
  E333="Mahuva", "Mahuva",
  E333="Jesar", "Mahuva",
  E333="Palitana", "Palitana",
  E333="Gariyadhar", "Palitana",
  E333="Talaja", "Talaja",
  E333="Vallabhipur", "Vallabhipur",
  E333="Umrala", "Vallabhipur",
  E333="Shihor", "Shihor",
  E333="Ghogha", "Bhavnagar",
  E333="Bhavnagar", "Bhavnagar"
)</f>
        <v>Mahuva</v>
      </c>
      <c r="G333" s="4" t="s">
        <v>19</v>
      </c>
      <c r="H333" s="4">
        <v>236984</v>
      </c>
      <c r="I333" s="4">
        <v>1</v>
      </c>
      <c r="J333" s="5">
        <v>45948</v>
      </c>
      <c r="K333" s="5">
        <v>45964</v>
      </c>
      <c r="L333" s="5">
        <v>45965</v>
      </c>
      <c r="M333" s="7">
        <v>50657649.75</v>
      </c>
      <c r="N333" s="7">
        <v>43064068.049999997</v>
      </c>
      <c r="O333" s="8">
        <v>-14.99</v>
      </c>
      <c r="P333" s="8" t="str">
        <f>IF(O333&lt;0,"Below",IF(O333&gt;0,"Above","Equals"))</f>
        <v>Below</v>
      </c>
      <c r="Q333" s="4" t="s">
        <v>13</v>
      </c>
      <c r="R333" s="5">
        <v>45974</v>
      </c>
      <c r="S333" s="6" t="s">
        <v>1085</v>
      </c>
      <c r="T333" s="14">
        <v>46043</v>
      </c>
      <c r="U333" s="12">
        <v>12</v>
      </c>
      <c r="V333" s="4">
        <v>228</v>
      </c>
      <c r="W333" s="14">
        <v>46066</v>
      </c>
      <c r="X333" s="4" t="s">
        <v>50</v>
      </c>
      <c r="Y333" s="13">
        <v>356</v>
      </c>
      <c r="Z333" s="26">
        <v>46108</v>
      </c>
      <c r="AA333" s="4" t="s">
        <v>299</v>
      </c>
      <c r="AB333" s="4" t="s">
        <v>725</v>
      </c>
      <c r="AC333" s="33" t="s">
        <v>1124</v>
      </c>
      <c r="AD333" s="9">
        <v>2154000</v>
      </c>
      <c r="AE333" s="5">
        <v>46108</v>
      </c>
      <c r="AF333" s="4" t="s">
        <v>299</v>
      </c>
      <c r="AG333" s="4" t="s">
        <v>725</v>
      </c>
      <c r="AH333" s="33" t="s">
        <v>1125</v>
      </c>
      <c r="AI333" s="9">
        <v>506000</v>
      </c>
      <c r="AJ333" s="5">
        <v>46108</v>
      </c>
      <c r="AK333" s="4">
        <v>439</v>
      </c>
      <c r="AL333" s="5">
        <v>46108</v>
      </c>
    </row>
    <row r="334" spans="1:38" ht="58">
      <c r="A334" s="4" t="s">
        <v>50</v>
      </c>
      <c r="B334" s="4">
        <v>21</v>
      </c>
      <c r="C334" s="4">
        <v>6</v>
      </c>
      <c r="D334" s="6" t="s">
        <v>790</v>
      </c>
      <c r="E334" s="4" t="s">
        <v>1</v>
      </c>
      <c r="F334" s="4" t="str" cm="1">
        <f t="array" ref="F334">_xlfn.IFS(
  E334="Mahuva", "Mahuva",
  E334="Jesar", "Mahuva",
  E334="Palitana", "Palitana",
  E334="Gariyadhar", "Palitana",
  E334="Talaja", "Talaja",
  E334="Vallabhipur", "Vallabhipur",
  E334="Umrala", "Vallabhipur",
  E334="Shihor", "Shihor",
  E334="Ghogha", "Bhavnagar",
  E334="Bhavnagar", "Bhavnagar"
)</f>
        <v>Vallabhipur</v>
      </c>
      <c r="G334" s="4" t="s">
        <v>19</v>
      </c>
      <c r="H334" s="4">
        <v>236987</v>
      </c>
      <c r="I334" s="4">
        <v>1</v>
      </c>
      <c r="J334" s="5">
        <v>45948</v>
      </c>
      <c r="K334" s="5">
        <v>45964</v>
      </c>
      <c r="L334" s="5">
        <v>45965</v>
      </c>
      <c r="M334" s="7">
        <v>3514814.96</v>
      </c>
      <c r="N334" s="7">
        <v>2741555.67</v>
      </c>
      <c r="O334" s="8">
        <v>-22</v>
      </c>
      <c r="P334" s="8" t="str">
        <f>IF(O334&lt;0,"Below",IF(O334&gt;0,"Above","Equals"))</f>
        <v>Below</v>
      </c>
      <c r="Q334" s="4" t="s">
        <v>143</v>
      </c>
      <c r="R334" s="5"/>
      <c r="S334" s="6"/>
      <c r="U334" s="12">
        <v>3</v>
      </c>
      <c r="V334" s="4">
        <v>1554</v>
      </c>
      <c r="W334" s="14">
        <v>45981</v>
      </c>
      <c r="X334" s="4" t="s">
        <v>50</v>
      </c>
      <c r="Y334" s="13">
        <v>223</v>
      </c>
      <c r="Z334" s="26">
        <v>46001</v>
      </c>
      <c r="AA334" s="4" t="s">
        <v>299</v>
      </c>
      <c r="AB334" s="4" t="s">
        <v>312</v>
      </c>
      <c r="AC334" s="33">
        <v>44711528800</v>
      </c>
      <c r="AD334" s="9">
        <v>138000</v>
      </c>
      <c r="AE334" s="5">
        <v>45996</v>
      </c>
      <c r="AF334" s="4" t="s">
        <v>299</v>
      </c>
      <c r="AG334" s="4" t="s">
        <v>312</v>
      </c>
      <c r="AH334" s="33">
        <v>44711681609</v>
      </c>
      <c r="AI334" s="9">
        <v>127000</v>
      </c>
      <c r="AJ334" s="5">
        <v>45996</v>
      </c>
      <c r="AK334" s="4">
        <v>1604</v>
      </c>
      <c r="AL334" s="14">
        <v>46001</v>
      </c>
    </row>
    <row r="335" spans="1:38" ht="43.5">
      <c r="A335" s="4" t="s">
        <v>50</v>
      </c>
      <c r="B335" s="4">
        <v>21</v>
      </c>
      <c r="C335" s="4">
        <v>7</v>
      </c>
      <c r="D335" s="6" t="s">
        <v>774</v>
      </c>
      <c r="E335" s="4" t="s">
        <v>0</v>
      </c>
      <c r="F335" s="4" t="str" cm="1">
        <f t="array" ref="F335">_xlfn.IFS(
  E335="Mahuva", "Mahuva",
  E335="Jesar", "Mahuva",
  E335="Palitana", "Palitana",
  E335="Gariyadhar", "Palitana",
  E335="Talaja", "Talaja",
  E335="Vallabhipur", "Vallabhipur",
  E335="Umrala", "Vallabhipur",
  E335="Shihor", "Shihor",
  E335="Ghogha", "Bhavnagar",
  E335="Bhavnagar", "Bhavnagar"
)</f>
        <v>Bhavnagar</v>
      </c>
      <c r="G335" s="4" t="s">
        <v>206</v>
      </c>
      <c r="H335" s="4">
        <v>236988</v>
      </c>
      <c r="I335" s="4">
        <v>1</v>
      </c>
      <c r="J335" s="5">
        <v>45948</v>
      </c>
      <c r="K335" s="5">
        <v>45964</v>
      </c>
      <c r="L335" s="5">
        <v>45965</v>
      </c>
      <c r="M335" s="7">
        <v>8157183.54</v>
      </c>
      <c r="N335" s="7">
        <v>7356963.8300000001</v>
      </c>
      <c r="O335" s="8">
        <v>-9.81</v>
      </c>
      <c r="P335" s="8" t="str">
        <f>IF(O335&lt;0,"Below",IF(O335&gt;0,"Above","Equals"))</f>
        <v>Below</v>
      </c>
      <c r="Q335" s="4" t="s">
        <v>770</v>
      </c>
      <c r="R335" s="5">
        <v>45974</v>
      </c>
      <c r="S335" s="15" t="s">
        <v>773</v>
      </c>
      <c r="T335" s="14">
        <v>45986</v>
      </c>
      <c r="U335" s="12">
        <v>5</v>
      </c>
      <c r="V335" s="4">
        <v>1557</v>
      </c>
      <c r="W335" s="14">
        <v>45987</v>
      </c>
      <c r="X335" s="4" t="s">
        <v>50</v>
      </c>
      <c r="Y335" s="13">
        <v>220</v>
      </c>
      <c r="Z335" s="26">
        <v>45988</v>
      </c>
      <c r="AA335" s="4" t="s">
        <v>299</v>
      </c>
      <c r="AB335" s="4" t="s">
        <v>647</v>
      </c>
      <c r="AC335" s="33" t="s">
        <v>787</v>
      </c>
      <c r="AD335" s="9">
        <v>368000</v>
      </c>
      <c r="AE335" s="5">
        <v>45988</v>
      </c>
      <c r="AF335" s="11"/>
      <c r="AG335" s="11"/>
      <c r="AI335" s="9"/>
      <c r="AJ335" s="11"/>
      <c r="AK335" s="4">
        <v>1563</v>
      </c>
      <c r="AL335" s="14">
        <v>45988</v>
      </c>
    </row>
    <row r="336" spans="1:38" ht="43.5">
      <c r="A336" s="4" t="s">
        <v>50</v>
      </c>
      <c r="B336" s="4">
        <v>21</v>
      </c>
      <c r="C336" s="4">
        <v>8</v>
      </c>
      <c r="D336" s="6" t="s">
        <v>791</v>
      </c>
      <c r="E336" s="4" t="s">
        <v>9</v>
      </c>
      <c r="F336" s="4" t="str" cm="1">
        <f t="array" ref="F336">_xlfn.IFS(
  E336="Mahuva", "Mahuva",
  E336="Jesar", "Mahuva",
  E336="Palitana", "Palitana",
  E336="Gariyadhar", "Palitana",
  E336="Talaja", "Talaja",
  E336="Vallabhipur", "Vallabhipur",
  E336="Umrala", "Vallabhipur",
  E336="Shihor", "Shihor",
  E336="Ghogha", "Bhavnagar",
  E336="Bhavnagar", "Bhavnagar"
)</f>
        <v>Vallabhipur</v>
      </c>
      <c r="G336" s="4" t="s">
        <v>206</v>
      </c>
      <c r="H336" s="4">
        <v>236992</v>
      </c>
      <c r="I336" s="4">
        <v>1</v>
      </c>
      <c r="J336" s="5">
        <v>45948</v>
      </c>
      <c r="K336" s="5">
        <v>45964</v>
      </c>
      <c r="L336" s="5">
        <v>45965</v>
      </c>
      <c r="M336" s="7">
        <v>834276.55</v>
      </c>
      <c r="N336" s="7">
        <v>788391.34</v>
      </c>
      <c r="O336" s="8">
        <v>-5.5</v>
      </c>
      <c r="P336" s="8" t="str">
        <f>IF(O336&lt;0,"Below",IF(O336&gt;0,"Above","Equals"))</f>
        <v>Below</v>
      </c>
      <c r="Q336" s="4" t="s">
        <v>779</v>
      </c>
      <c r="R336" s="5"/>
      <c r="S336" s="15"/>
      <c r="U336" s="12">
        <v>2</v>
      </c>
      <c r="V336" s="4">
        <v>1564</v>
      </c>
      <c r="W336" s="14">
        <v>45981</v>
      </c>
      <c r="X336" s="4" t="s">
        <v>50</v>
      </c>
      <c r="Y336" s="13">
        <v>247</v>
      </c>
      <c r="Z336" s="26">
        <v>46014</v>
      </c>
      <c r="AA336" s="4" t="s">
        <v>299</v>
      </c>
      <c r="AB336" s="4" t="s">
        <v>312</v>
      </c>
      <c r="AC336" s="33">
        <v>44731666109</v>
      </c>
      <c r="AD336" s="9">
        <v>40000</v>
      </c>
      <c r="AE336" s="5">
        <v>46002</v>
      </c>
      <c r="AF336" s="11"/>
      <c r="AG336" s="11"/>
      <c r="AI336" s="9"/>
      <c r="AJ336" s="11"/>
      <c r="AK336" s="4">
        <v>1792</v>
      </c>
      <c r="AL336" s="14">
        <v>46014</v>
      </c>
    </row>
    <row r="337" spans="1:38" ht="29">
      <c r="A337" s="4" t="str">
        <f>A336</f>
        <v>2025-26</v>
      </c>
      <c r="B337" s="4">
        <f>B336</f>
        <v>21</v>
      </c>
      <c r="C337" s="4">
        <f>C336+1</f>
        <v>9</v>
      </c>
      <c r="D337" s="6" t="s">
        <v>1198</v>
      </c>
      <c r="E337" s="4" t="s">
        <v>1077</v>
      </c>
      <c r="F337" s="4" t="e" cm="1">
        <f t="array" ref="F337">_xlfn.IFS(
  E337="Mahuva", "Mahuva",
  E337="Jesar", "Mahuva",
  E337="Palitana", "Palitana",
  E337="Gariyadhar", "Palitana",
  E337="Talaja", "Talaja",
  E337="Vallabhipur", "Vallabhipur",
  E337="Umrala", "Vallabhipur",
  E337="Shihor", "Shihor",
  E337="Ghogha", "Bhavnagar",
  E337="Bhavnagar", "Bhavnagar"
)</f>
        <v>#N/A</v>
      </c>
      <c r="G337" s="4" t="s">
        <v>206</v>
      </c>
      <c r="H337" s="4">
        <v>305430</v>
      </c>
      <c r="I337" s="4">
        <v>1</v>
      </c>
      <c r="O337" s="8"/>
      <c r="P337" s="8" t="str">
        <f>IF(O337&lt;0,"Below",IF(O337&gt;0,"Above","Equals"))</f>
        <v>Equals</v>
      </c>
      <c r="R337" s="5"/>
      <c r="S337" s="15"/>
      <c r="U337" s="12"/>
      <c r="V337" s="4"/>
      <c r="X337" s="4"/>
      <c r="Y337" s="13"/>
      <c r="Z337" s="13"/>
      <c r="AA337" s="4"/>
      <c r="AB337" s="4"/>
      <c r="AD337" s="9"/>
      <c r="AE337" s="5"/>
      <c r="AF337" s="11"/>
      <c r="AG337" s="11"/>
      <c r="AI337" s="9"/>
      <c r="AJ337" s="11"/>
      <c r="AK337" s="4"/>
    </row>
    <row r="338" spans="1:38" ht="43.5">
      <c r="A338" s="4" t="s">
        <v>50</v>
      </c>
      <c r="B338" s="4">
        <v>21</v>
      </c>
      <c r="C338" s="4">
        <v>9</v>
      </c>
      <c r="D338" s="6" t="s">
        <v>792</v>
      </c>
      <c r="E338" s="4" t="s">
        <v>279</v>
      </c>
      <c r="F338" s="4" t="str" cm="1">
        <f t="array" ref="F338">_xlfn.IFS(
  E338="Mahuva", "Mahuva",
  E338="Jesar", "Mahuva",
  E338="Palitana", "Palitana",
  E338="Gariyadhar", "Palitana",
  E338="Talaja", "Talaja",
  E338="Vallabhipur", "Vallabhipur",
  E338="Umrala", "Vallabhipur",
  E338="Shihor", "Shihor",
  E338="Ghogha", "Bhavnagar",
  E338="Bhavnagar", "Bhavnagar"
)</f>
        <v>Bhavnagar</v>
      </c>
      <c r="G338" s="4" t="s">
        <v>206</v>
      </c>
      <c r="H338" s="4">
        <v>236994</v>
      </c>
      <c r="I338" s="4">
        <v>1</v>
      </c>
      <c r="J338" s="5">
        <v>45948</v>
      </c>
      <c r="K338" s="5">
        <v>45964</v>
      </c>
      <c r="L338" s="5">
        <v>45965</v>
      </c>
      <c r="M338" s="7">
        <v>830092.26</v>
      </c>
      <c r="N338" s="7">
        <v>722180.27</v>
      </c>
      <c r="O338" s="8">
        <v>-13</v>
      </c>
      <c r="P338" s="8" t="str">
        <f>IF(O338&lt;0,"Below",IF(O338&gt;0,"Above","Equals"))</f>
        <v>Below</v>
      </c>
      <c r="Q338" s="4" t="s">
        <v>780</v>
      </c>
      <c r="R338" s="5"/>
      <c r="S338" s="15"/>
      <c r="U338" s="12">
        <v>2</v>
      </c>
      <c r="V338" s="4">
        <v>1668</v>
      </c>
      <c r="W338" s="14">
        <v>45981</v>
      </c>
      <c r="X338" s="4" t="s">
        <v>50</v>
      </c>
      <c r="Y338" s="13">
        <v>246</v>
      </c>
      <c r="Z338" s="26">
        <v>46014</v>
      </c>
      <c r="AA338" s="4" t="s">
        <v>299</v>
      </c>
      <c r="AB338" s="4" t="s">
        <v>312</v>
      </c>
      <c r="AC338" s="33">
        <v>44711715867</v>
      </c>
      <c r="AD338" s="9">
        <v>37000</v>
      </c>
      <c r="AE338" s="5">
        <v>45996</v>
      </c>
      <c r="AF338" s="4" t="s">
        <v>299</v>
      </c>
      <c r="AG338" s="4" t="s">
        <v>312</v>
      </c>
      <c r="AH338" s="33">
        <v>44711720060</v>
      </c>
      <c r="AI338" s="9">
        <v>5000</v>
      </c>
      <c r="AJ338" s="5">
        <v>45996</v>
      </c>
      <c r="AK338" s="4">
        <v>1791</v>
      </c>
      <c r="AL338" s="14">
        <v>46014</v>
      </c>
    </row>
    <row r="339" spans="1:38" ht="43.5">
      <c r="A339" s="4" t="s">
        <v>50</v>
      </c>
      <c r="B339" s="4">
        <v>21</v>
      </c>
      <c r="C339" s="4">
        <v>10</v>
      </c>
      <c r="D339" s="6" t="s">
        <v>793</v>
      </c>
      <c r="E339" s="4" t="s">
        <v>1</v>
      </c>
      <c r="F339" s="4" t="str" cm="1">
        <f t="array" ref="F339">_xlfn.IFS(
  E339="Mahuva", "Mahuva",
  E339="Jesar", "Mahuva",
  E339="Palitana", "Palitana",
  E339="Gariyadhar", "Palitana",
  E339="Talaja", "Talaja",
  E339="Vallabhipur", "Vallabhipur",
  E339="Umrala", "Vallabhipur",
  E339="Shihor", "Shihor",
  E339="Ghogha", "Bhavnagar",
  E339="Bhavnagar", "Bhavnagar"
)</f>
        <v>Vallabhipur</v>
      </c>
      <c r="G339" s="4" t="s">
        <v>206</v>
      </c>
      <c r="H339" s="4">
        <v>236995</v>
      </c>
      <c r="I339" s="4">
        <v>1</v>
      </c>
      <c r="J339" s="5">
        <v>45948</v>
      </c>
      <c r="K339" s="5">
        <v>45964</v>
      </c>
      <c r="L339" s="5">
        <v>45965</v>
      </c>
      <c r="M339" s="7">
        <v>830592.97</v>
      </c>
      <c r="N339" s="7">
        <v>756836.31</v>
      </c>
      <c r="O339" s="8">
        <v>-8.8800000000000008</v>
      </c>
      <c r="P339" s="8" t="str">
        <f>IF(O339&lt;0,"Below",IF(O339&gt;0,"Above","Equals"))</f>
        <v>Below</v>
      </c>
      <c r="Q339" s="4" t="s">
        <v>568</v>
      </c>
      <c r="R339" s="5"/>
      <c r="S339" s="15"/>
      <c r="U339" s="12">
        <v>2</v>
      </c>
      <c r="V339" s="4">
        <v>1565</v>
      </c>
      <c r="W339" s="14">
        <v>45981</v>
      </c>
      <c r="X339" s="4" t="s">
        <v>50</v>
      </c>
      <c r="Y339" s="13">
        <v>278</v>
      </c>
      <c r="Z339" s="26">
        <v>46042</v>
      </c>
      <c r="AA339" s="4" t="s">
        <v>299</v>
      </c>
      <c r="AB339" s="4" t="s">
        <v>312</v>
      </c>
      <c r="AC339" s="33">
        <v>44760402038</v>
      </c>
      <c r="AD339" s="9">
        <v>38000</v>
      </c>
      <c r="AE339" s="5">
        <v>46013</v>
      </c>
      <c r="AF339" s="11"/>
      <c r="AG339" s="11"/>
      <c r="AI339" s="9"/>
      <c r="AJ339" s="11"/>
      <c r="AK339" s="4">
        <v>72</v>
      </c>
      <c r="AL339" s="14">
        <v>46042</v>
      </c>
    </row>
    <row r="340" spans="1:38" ht="29">
      <c r="A340" s="4" t="s">
        <v>50</v>
      </c>
      <c r="B340" s="4">
        <v>21</v>
      </c>
      <c r="C340" s="4">
        <v>11</v>
      </c>
      <c r="D340" s="6" t="s">
        <v>794</v>
      </c>
      <c r="E340" s="4" t="s">
        <v>228</v>
      </c>
      <c r="F340" s="4" t="str" cm="1">
        <f t="array" ref="F340">_xlfn.IFS(
  E340="Mahuva", "Mahuva",
  E340="Jesar", "Mahuva",
  E340="Palitana", "Palitana",
  E340="Gariyadhar", "Palitana",
  E340="Talaja", "Talaja",
  E340="Vallabhipur", "Vallabhipur",
  E340="Umrala", "Vallabhipur",
  E340="Shihor", "Shihor",
  E340="Ghogha", "Bhavnagar",
  E340="Bhavnagar", "Bhavnagar"
)</f>
        <v>Mahuva</v>
      </c>
      <c r="G340" s="4" t="s">
        <v>206</v>
      </c>
      <c r="H340" s="4">
        <v>236996</v>
      </c>
      <c r="I340" s="4">
        <v>1</v>
      </c>
      <c r="J340" s="5">
        <v>45948</v>
      </c>
      <c r="K340" s="5">
        <v>45964</v>
      </c>
      <c r="L340" s="5">
        <v>45965</v>
      </c>
      <c r="M340" s="7">
        <v>1238183.43</v>
      </c>
      <c r="N340" s="7">
        <v>1137890.57</v>
      </c>
      <c r="O340" s="8">
        <v>-8.1</v>
      </c>
      <c r="P340" s="8" t="str">
        <f>IF(O340&lt;0,"Below",IF(O340&gt;0,"Above","Equals"))</f>
        <v>Below</v>
      </c>
      <c r="Q340" s="4" t="s">
        <v>779</v>
      </c>
      <c r="R340" s="5"/>
      <c r="S340" s="15"/>
      <c r="U340" s="12">
        <v>3</v>
      </c>
      <c r="V340" s="4">
        <v>1567</v>
      </c>
      <c r="W340" s="14">
        <v>45981</v>
      </c>
      <c r="X340" s="4" t="s">
        <v>50</v>
      </c>
      <c r="Y340" s="13">
        <v>248</v>
      </c>
      <c r="Z340" s="26">
        <v>46014</v>
      </c>
      <c r="AA340" s="4" t="s">
        <v>299</v>
      </c>
      <c r="AB340" s="4" t="s">
        <v>312</v>
      </c>
      <c r="AC340" s="33">
        <v>44731669994</v>
      </c>
      <c r="AD340" s="9">
        <v>57000</v>
      </c>
      <c r="AE340" s="5">
        <v>46002</v>
      </c>
      <c r="AF340" s="11"/>
      <c r="AG340" s="11"/>
      <c r="AI340" s="9"/>
      <c r="AJ340" s="11"/>
      <c r="AK340" s="4">
        <v>1793</v>
      </c>
      <c r="AL340" s="14">
        <v>46014</v>
      </c>
    </row>
    <row r="341" spans="1:38" ht="29">
      <c r="A341" s="4" t="s">
        <v>50</v>
      </c>
      <c r="B341" s="4">
        <v>21</v>
      </c>
      <c r="C341" s="4">
        <v>12</v>
      </c>
      <c r="D341" s="6" t="s">
        <v>795</v>
      </c>
      <c r="E341" s="4" t="s">
        <v>10</v>
      </c>
      <c r="F341" s="4" t="str" cm="1">
        <f t="array" ref="F341">_xlfn.IFS(
  E341="Mahuva", "Mahuva",
  E341="Jesar", "Mahuva",
  E341="Palitana", "Palitana",
  E341="Gariyadhar", "Palitana",
  E341="Talaja", "Talaja",
  E341="Vallabhipur", "Vallabhipur",
  E341="Umrala", "Vallabhipur",
  E341="Shihor", "Shihor",
  E341="Ghogha", "Bhavnagar",
  E341="Bhavnagar", "Bhavnagar"
)</f>
        <v>Mahuva</v>
      </c>
      <c r="G341" s="4" t="s">
        <v>206</v>
      </c>
      <c r="H341" s="4">
        <v>236997</v>
      </c>
      <c r="I341" s="4">
        <v>1</v>
      </c>
      <c r="J341" s="5">
        <v>45948</v>
      </c>
      <c r="K341" s="5">
        <v>45964</v>
      </c>
      <c r="L341" s="5">
        <v>45965</v>
      </c>
      <c r="M341" s="7">
        <v>2078883.38</v>
      </c>
      <c r="N341" s="7">
        <v>1908414.94</v>
      </c>
      <c r="O341" s="8">
        <v>-8.1999999999999993</v>
      </c>
      <c r="P341" s="8" t="str">
        <f>IF(O341&lt;0,"Below",IF(O341&gt;0,"Above","Equals"))</f>
        <v>Below</v>
      </c>
      <c r="Q341" s="4" t="s">
        <v>779</v>
      </c>
      <c r="R341" s="5"/>
      <c r="S341" s="15"/>
      <c r="U341" s="12">
        <v>3</v>
      </c>
      <c r="V341" s="4">
        <v>1566</v>
      </c>
      <c r="W341" s="14">
        <v>45981</v>
      </c>
      <c r="X341" s="4" t="s">
        <v>50</v>
      </c>
      <c r="Y341" s="13">
        <v>249</v>
      </c>
      <c r="Z341" s="26">
        <v>46014</v>
      </c>
      <c r="AA341" s="4" t="s">
        <v>299</v>
      </c>
      <c r="AB341" s="4" t="s">
        <v>312</v>
      </c>
      <c r="AC341" s="33">
        <v>44731727073</v>
      </c>
      <c r="AD341" s="9">
        <v>96000</v>
      </c>
      <c r="AE341" s="5">
        <v>46002</v>
      </c>
      <c r="AF341" s="11"/>
      <c r="AG341" s="11"/>
      <c r="AI341" s="9"/>
      <c r="AJ341" s="11"/>
      <c r="AK341" s="4">
        <v>1794</v>
      </c>
      <c r="AL341" s="14">
        <v>46014</v>
      </c>
    </row>
    <row r="342" spans="1:38" ht="29">
      <c r="A342" s="4" t="s">
        <v>50</v>
      </c>
      <c r="B342" s="4">
        <v>21</v>
      </c>
      <c r="C342" s="4">
        <v>13</v>
      </c>
      <c r="D342" s="6" t="s">
        <v>796</v>
      </c>
      <c r="E342" s="4" t="s">
        <v>1</v>
      </c>
      <c r="F342" s="4" t="str" cm="1">
        <f t="array" ref="F342">_xlfn.IFS(
  E342="Mahuva", "Mahuva",
  E342="Jesar", "Mahuva",
  E342="Palitana", "Palitana",
  E342="Gariyadhar", "Palitana",
  E342="Talaja", "Talaja",
  E342="Vallabhipur", "Vallabhipur",
  E342="Umrala", "Vallabhipur",
  E342="Shihor", "Shihor",
  E342="Ghogha", "Bhavnagar",
  E342="Bhavnagar", "Bhavnagar"
)</f>
        <v>Vallabhipur</v>
      </c>
      <c r="G342" s="4" t="s">
        <v>206</v>
      </c>
      <c r="H342" s="4">
        <v>236998</v>
      </c>
      <c r="I342" s="4">
        <v>1</v>
      </c>
      <c r="J342" s="5">
        <v>45948</v>
      </c>
      <c r="K342" s="5">
        <v>45964</v>
      </c>
      <c r="L342" s="5">
        <v>45965</v>
      </c>
      <c r="M342" s="7">
        <v>2078883.38</v>
      </c>
      <c r="N342" s="7">
        <v>1877855.36</v>
      </c>
      <c r="O342" s="8">
        <v>-9.67</v>
      </c>
      <c r="P342" s="8" t="str">
        <f>IF(O342&lt;0,"Below",IF(O342&gt;0,"Above","Equals"))</f>
        <v>Below</v>
      </c>
      <c r="Q342" s="4" t="s">
        <v>781</v>
      </c>
      <c r="R342" s="5"/>
      <c r="S342" s="15"/>
      <c r="U342" s="12">
        <v>3</v>
      </c>
      <c r="V342" s="4">
        <v>1570</v>
      </c>
      <c r="W342" s="14">
        <v>45981</v>
      </c>
      <c r="X342" s="4" t="s">
        <v>50</v>
      </c>
      <c r="Y342" s="13">
        <v>240</v>
      </c>
      <c r="Z342" s="26">
        <v>46009</v>
      </c>
      <c r="AA342" s="4" t="s">
        <v>299</v>
      </c>
      <c r="AB342" s="4" t="s">
        <v>312</v>
      </c>
      <c r="AC342" s="33">
        <v>44729875208</v>
      </c>
      <c r="AD342" s="9">
        <v>94000</v>
      </c>
      <c r="AE342" s="5">
        <v>46002</v>
      </c>
      <c r="AF342" s="11"/>
      <c r="AG342" s="11"/>
      <c r="AI342" s="9"/>
      <c r="AJ342" s="11"/>
      <c r="AK342" s="4">
        <v>1742</v>
      </c>
      <c r="AL342" s="26">
        <v>46009</v>
      </c>
    </row>
    <row r="343" spans="1:38" ht="29">
      <c r="A343" s="4" t="s">
        <v>50</v>
      </c>
      <c r="B343" s="4">
        <v>21</v>
      </c>
      <c r="C343" s="4">
        <v>14</v>
      </c>
      <c r="D343" s="6" t="s">
        <v>797</v>
      </c>
      <c r="E343" s="4" t="s">
        <v>279</v>
      </c>
      <c r="F343" s="4" t="str" cm="1">
        <f t="array" ref="F343">_xlfn.IFS(
  E343="Mahuva", "Mahuva",
  E343="Jesar", "Mahuva",
  E343="Palitana", "Palitana",
  E343="Gariyadhar", "Palitana",
  E343="Talaja", "Talaja",
  E343="Vallabhipur", "Vallabhipur",
  E343="Umrala", "Vallabhipur",
  E343="Shihor", "Shihor",
  E343="Ghogha", "Bhavnagar",
  E343="Bhavnagar", "Bhavnagar"
)</f>
        <v>Bhavnagar</v>
      </c>
      <c r="G343" s="4" t="s">
        <v>206</v>
      </c>
      <c r="H343" s="4">
        <v>236999</v>
      </c>
      <c r="I343" s="4">
        <v>1</v>
      </c>
      <c r="J343" s="5">
        <v>45948</v>
      </c>
      <c r="K343" s="5">
        <v>45964</v>
      </c>
      <c r="L343" s="5">
        <v>45965</v>
      </c>
      <c r="M343" s="7">
        <v>4552092.74</v>
      </c>
      <c r="N343" s="7">
        <v>4090510.54</v>
      </c>
      <c r="O343" s="8">
        <v>-10.14</v>
      </c>
      <c r="P343" s="8" t="str">
        <f>IF(O343&lt;0,"Below",IF(O343&gt;0,"Above","Equals"))</f>
        <v>Below</v>
      </c>
      <c r="Q343" s="4" t="s">
        <v>782</v>
      </c>
      <c r="R343" s="5"/>
      <c r="S343" s="15"/>
      <c r="U343" s="12">
        <v>6</v>
      </c>
      <c r="V343" s="4">
        <v>1569</v>
      </c>
      <c r="W343" s="14">
        <v>45981</v>
      </c>
      <c r="X343" s="4" t="s">
        <v>50</v>
      </c>
      <c r="Y343" s="13">
        <v>242</v>
      </c>
      <c r="Z343" s="26">
        <v>46011</v>
      </c>
      <c r="AA343" s="4" t="s">
        <v>299</v>
      </c>
      <c r="AB343" s="4" t="s">
        <v>312</v>
      </c>
      <c r="AC343" s="33">
        <v>44733441571</v>
      </c>
      <c r="AD343" s="9">
        <v>205000</v>
      </c>
      <c r="AE343" s="5">
        <v>46003</v>
      </c>
      <c r="AF343" s="4" t="s">
        <v>299</v>
      </c>
      <c r="AG343" s="4" t="s">
        <v>312</v>
      </c>
      <c r="AH343" s="33">
        <v>44733424907</v>
      </c>
      <c r="AI343" s="9">
        <v>2000</v>
      </c>
      <c r="AJ343" s="5">
        <v>46003</v>
      </c>
      <c r="AK343" s="4">
        <v>1786</v>
      </c>
      <c r="AL343" s="14">
        <v>46011</v>
      </c>
    </row>
    <row r="344" spans="1:38" ht="29">
      <c r="A344" s="4" t="str">
        <f>A343</f>
        <v>2025-26</v>
      </c>
      <c r="B344" s="4">
        <f>B343</f>
        <v>21</v>
      </c>
      <c r="C344" s="4">
        <f>C343+1</f>
        <v>15</v>
      </c>
      <c r="D344" s="6" t="s">
        <v>1192</v>
      </c>
      <c r="E344" s="4" t="s">
        <v>0</v>
      </c>
      <c r="F344" s="4" t="str" cm="1">
        <f t="array" ref="F344">_xlfn.IFS(
  E344="Mahuva", "Mahuva",
  E344="Jesar", "Mahuva",
  E344="Palitana", "Palitana",
  E344="Gariyadhar", "Palitana",
  E344="Talaja", "Talaja",
  E344="Vallabhipur", "Vallabhipur",
  E344="Umrala", "Vallabhipur",
  E344="Shihor", "Shihor",
  E344="Ghogha", "Bhavnagar",
  E344="Bhavnagar", "Bhavnagar"
)</f>
        <v>Bhavnagar</v>
      </c>
      <c r="G344" s="4" t="s">
        <v>206</v>
      </c>
      <c r="H344" s="4">
        <v>305396</v>
      </c>
      <c r="I344" s="4">
        <v>1</v>
      </c>
      <c r="M344" s="7">
        <v>982154.6</v>
      </c>
      <c r="N344" s="7">
        <v>863706.76</v>
      </c>
      <c r="O344" s="8">
        <v>-12.06</v>
      </c>
      <c r="P344" s="8" t="str">
        <f>IF(O344&lt;0,"Below",IF(O344&gt;0,"Above","Equals"))</f>
        <v>Below</v>
      </c>
      <c r="Q344" s="4" t="s">
        <v>1205</v>
      </c>
      <c r="R344" s="5"/>
      <c r="S344" s="15"/>
      <c r="U344" s="12"/>
      <c r="V344" s="4"/>
      <c r="X344" s="4"/>
      <c r="Y344" s="13"/>
      <c r="Z344" s="13"/>
      <c r="AA344" s="4"/>
      <c r="AB344" s="4"/>
      <c r="AD344" s="9"/>
      <c r="AE344" s="5"/>
      <c r="AF344" s="11"/>
      <c r="AG344" s="11"/>
      <c r="AI344" s="9"/>
      <c r="AJ344" s="11"/>
      <c r="AK344" s="4"/>
    </row>
    <row r="345" spans="1:38" ht="58">
      <c r="A345" s="4" t="s">
        <v>50</v>
      </c>
      <c r="B345" s="4">
        <v>21</v>
      </c>
      <c r="C345" s="4">
        <v>15</v>
      </c>
      <c r="D345" s="6" t="s">
        <v>783</v>
      </c>
      <c r="E345" s="4" t="s">
        <v>0</v>
      </c>
      <c r="F345" s="4" t="str" cm="1">
        <f t="array" ref="F345">_xlfn.IFS(
  E345="Mahuva", "Mahuva",
  E345="Jesar", "Mahuva",
  E345="Palitana", "Palitana",
  E345="Gariyadhar", "Palitana",
  E345="Talaja", "Talaja",
  E345="Vallabhipur", "Vallabhipur",
  E345="Umrala", "Vallabhipur",
  E345="Shihor", "Shihor",
  E345="Ghogha", "Bhavnagar",
  E345="Bhavnagar", "Bhavnagar"
)</f>
        <v>Bhavnagar</v>
      </c>
      <c r="G345" s="4" t="s">
        <v>19</v>
      </c>
      <c r="H345" s="4">
        <v>236991</v>
      </c>
      <c r="I345" s="4">
        <v>1</v>
      </c>
      <c r="J345" s="5">
        <v>45948</v>
      </c>
      <c r="K345" s="5">
        <v>45964</v>
      </c>
      <c r="L345" s="5">
        <v>45965</v>
      </c>
      <c r="M345" s="7">
        <v>9616260.9100000001</v>
      </c>
      <c r="O345" s="8"/>
      <c r="P345" s="8" t="str">
        <f>IF(O345&lt;0,"Below",IF(O345&gt;0,"Above","Equals"))</f>
        <v>Equals</v>
      </c>
      <c r="R345" s="5"/>
      <c r="S345" s="15"/>
      <c r="U345" s="12"/>
      <c r="V345" s="4"/>
      <c r="X345" s="4"/>
      <c r="Y345" s="13"/>
      <c r="Z345" s="13"/>
      <c r="AA345" s="4"/>
      <c r="AB345" s="4"/>
      <c r="AD345" s="9"/>
      <c r="AE345" s="5"/>
      <c r="AF345" s="11"/>
      <c r="AG345" s="11"/>
      <c r="AI345" s="9"/>
      <c r="AJ345" s="11"/>
      <c r="AK345" s="4"/>
    </row>
    <row r="346" spans="1:38" ht="29">
      <c r="A346" s="4" t="s">
        <v>50</v>
      </c>
      <c r="B346" s="4">
        <v>21</v>
      </c>
      <c r="C346" s="4">
        <v>16</v>
      </c>
      <c r="D346" s="6" t="s">
        <v>798</v>
      </c>
      <c r="E346" s="4" t="s">
        <v>279</v>
      </c>
      <c r="F346" s="4" t="str" cm="1">
        <f t="array" ref="F346">_xlfn.IFS(
  E346="Mahuva", "Mahuva",
  E346="Jesar", "Mahuva",
  E346="Palitana", "Palitana",
  E346="Gariyadhar", "Palitana",
  E346="Talaja", "Talaja",
  E346="Vallabhipur", "Vallabhipur",
  E346="Umrala", "Vallabhipur",
  E346="Shihor", "Shihor",
  E346="Ghogha", "Bhavnagar",
  E346="Bhavnagar", "Bhavnagar"
)</f>
        <v>Bhavnagar</v>
      </c>
      <c r="G346" s="4" t="s">
        <v>206</v>
      </c>
      <c r="H346" s="4">
        <v>237000</v>
      </c>
      <c r="I346" s="4">
        <v>1</v>
      </c>
      <c r="J346" s="5">
        <v>45948</v>
      </c>
      <c r="K346" s="5">
        <v>45964</v>
      </c>
      <c r="L346" s="5">
        <v>45965</v>
      </c>
      <c r="M346" s="7">
        <v>1971286.08</v>
      </c>
      <c r="N346" s="7">
        <v>1811611.91</v>
      </c>
      <c r="O346" s="8">
        <v>-8.1</v>
      </c>
      <c r="P346" s="8" t="str">
        <f>IF(O346&lt;0,"Below",IF(O346&gt;0,"Above","Equals"))</f>
        <v>Below</v>
      </c>
      <c r="Q346" s="4" t="s">
        <v>779</v>
      </c>
      <c r="R346" s="5"/>
      <c r="S346" s="15"/>
      <c r="U346" s="12">
        <v>4</v>
      </c>
      <c r="V346" s="4">
        <v>1571</v>
      </c>
      <c r="W346" s="14">
        <v>45981</v>
      </c>
      <c r="X346" s="4" t="s">
        <v>50</v>
      </c>
      <c r="Y346" s="13">
        <v>250</v>
      </c>
      <c r="Z346" s="26">
        <v>46014</v>
      </c>
      <c r="AA346" s="4" t="s">
        <v>299</v>
      </c>
      <c r="AB346" s="4" t="s">
        <v>312</v>
      </c>
      <c r="AC346" s="33">
        <v>44731726228</v>
      </c>
      <c r="AD346" s="9">
        <v>91000</v>
      </c>
      <c r="AE346" s="5">
        <v>46002</v>
      </c>
      <c r="AF346" s="11"/>
      <c r="AG346" s="11"/>
      <c r="AI346" s="9"/>
      <c r="AJ346" s="11"/>
      <c r="AK346" s="4">
        <v>1795</v>
      </c>
      <c r="AL346" s="14">
        <v>46014</v>
      </c>
    </row>
    <row r="347" spans="1:38" ht="29">
      <c r="A347" s="4" t="str">
        <f>A346</f>
        <v>2025-26</v>
      </c>
      <c r="B347" s="4">
        <f>B346</f>
        <v>21</v>
      </c>
      <c r="C347" s="4">
        <f>C346+1</f>
        <v>17</v>
      </c>
      <c r="D347" s="6" t="s">
        <v>1153</v>
      </c>
      <c r="E347" s="4" t="s">
        <v>11</v>
      </c>
      <c r="F347" s="4" t="str" cm="1">
        <f t="array" ref="F347">_xlfn.IFS(
  E347="Mahuva", "Mahuva",
  E347="Jesar", "Mahuva",
  E347="Palitana", "Palitana",
  E347="Gariyadhar", "Palitana",
  E347="Talaja", "Talaja",
  E347="Vallabhipur", "Vallabhipur",
  E347="Umrala", "Vallabhipur",
  E347="Shihor", "Shihor",
  E347="Ghogha", "Bhavnagar",
  E347="Bhavnagar", "Bhavnagar"
)</f>
        <v>Shihor</v>
      </c>
      <c r="G347" s="4" t="s">
        <v>19</v>
      </c>
      <c r="H347" s="4">
        <v>293852</v>
      </c>
      <c r="I347" s="4"/>
      <c r="M347" s="7">
        <v>26468221.629999999</v>
      </c>
      <c r="N347" s="7">
        <v>21939508.91</v>
      </c>
      <c r="O347" s="8">
        <v>-17.11</v>
      </c>
      <c r="P347" s="8" t="str">
        <f>IF(O347&lt;0,"Below",IF(O347&gt;0,"Above","Equals"))</f>
        <v>Below</v>
      </c>
      <c r="Q347" s="4" t="s">
        <v>13</v>
      </c>
      <c r="R347" s="5">
        <v>46155</v>
      </c>
      <c r="S347" s="15"/>
      <c r="U347" s="12"/>
      <c r="V347" s="4"/>
      <c r="X347" s="4"/>
      <c r="Y347" s="13"/>
      <c r="Z347" s="13"/>
      <c r="AA347" s="4"/>
      <c r="AB347" s="4"/>
      <c r="AD347" s="9"/>
      <c r="AE347" s="5"/>
      <c r="AF347" s="11"/>
      <c r="AG347" s="11"/>
      <c r="AI347" s="9"/>
      <c r="AJ347" s="11"/>
      <c r="AK347" s="4"/>
    </row>
    <row r="348" spans="1:38" ht="43.5">
      <c r="A348" s="4" t="str">
        <f>A347</f>
        <v>2025-26</v>
      </c>
      <c r="B348" s="4">
        <f>B347</f>
        <v>21</v>
      </c>
      <c r="C348" s="4">
        <f>C347+1</f>
        <v>18</v>
      </c>
      <c r="D348" s="6" t="s">
        <v>1204</v>
      </c>
      <c r="E348" s="4" t="s">
        <v>2</v>
      </c>
      <c r="F348" s="4" t="str" cm="1">
        <f t="array" ref="F348">_xlfn.IFS(
  E348="Mahuva", "Mahuva",
  E348="Jesar", "Mahuva",
  E348="Palitana", "Palitana",
  E348="Gariyadhar", "Palitana",
  E348="Talaja", "Talaja",
  E348="Vallabhipur", "Vallabhipur",
  E348="Umrala", "Vallabhipur",
  E348="Shihor", "Shihor",
  E348="Ghogha", "Bhavnagar",
  E348="Bhavnagar", "Bhavnagar"
)</f>
        <v>Palitana</v>
      </c>
      <c r="G348" s="4" t="s">
        <v>206</v>
      </c>
      <c r="H348" s="4">
        <v>305551</v>
      </c>
      <c r="I348" s="4">
        <v>1</v>
      </c>
      <c r="M348" s="7">
        <v>2485401.81</v>
      </c>
      <c r="N348" s="7">
        <v>2156583.15</v>
      </c>
      <c r="O348" s="8">
        <v>-13.23</v>
      </c>
      <c r="P348" s="8" t="str">
        <f>IF(O348&lt;0,"Below",IF(O348&gt;0,"Above","Equals"))</f>
        <v>Below</v>
      </c>
      <c r="Q348" s="4" t="s">
        <v>1142</v>
      </c>
      <c r="R348" s="5"/>
      <c r="S348" s="15"/>
      <c r="U348" s="12"/>
      <c r="V348" s="4"/>
      <c r="X348" s="4"/>
      <c r="Y348" s="13"/>
      <c r="Z348" s="13"/>
      <c r="AA348" s="4"/>
      <c r="AB348" s="4"/>
      <c r="AD348" s="9"/>
      <c r="AE348" s="5"/>
      <c r="AF348" s="11"/>
      <c r="AG348" s="11"/>
      <c r="AI348" s="9"/>
      <c r="AJ348" s="11"/>
      <c r="AK348" s="4"/>
    </row>
    <row r="349" spans="1:38" ht="43.5">
      <c r="A349" s="4" t="str">
        <f>A348</f>
        <v>2025-26</v>
      </c>
      <c r="B349" s="4">
        <f>B348</f>
        <v>21</v>
      </c>
      <c r="C349" s="4">
        <f>C348+1</f>
        <v>19</v>
      </c>
      <c r="D349" s="6" t="s">
        <v>1146</v>
      </c>
      <c r="E349" s="4" t="s">
        <v>10</v>
      </c>
      <c r="F349" s="4" t="str" cm="1">
        <f t="array" ref="F349">_xlfn.IFS(
  E349="Mahuva", "Mahuva",
  E349="Jesar", "Mahuva",
  E349="Palitana", "Palitana",
  E349="Gariyadhar", "Palitana",
  E349="Talaja", "Talaja",
  E349="Vallabhipur", "Vallabhipur",
  E349="Umrala", "Vallabhipur",
  E349="Shihor", "Shihor",
  E349="Ghogha", "Bhavnagar",
  E349="Bhavnagar", "Bhavnagar"
)</f>
        <v>Mahuva</v>
      </c>
      <c r="G349" s="4" t="s">
        <v>19</v>
      </c>
      <c r="H349" s="4">
        <v>293780</v>
      </c>
      <c r="I349" s="4"/>
      <c r="M349" s="7">
        <v>36723389.420000002</v>
      </c>
      <c r="N349" s="7">
        <v>33965462.869999997</v>
      </c>
      <c r="O349" s="8">
        <v>-7.51</v>
      </c>
      <c r="P349" s="8" t="str">
        <f>IF(O349&lt;0,"Below",IF(O349&gt;0,"Above","Equals"))</f>
        <v>Below</v>
      </c>
      <c r="Q349" s="4" t="s">
        <v>13</v>
      </c>
      <c r="R349" s="5">
        <v>46155</v>
      </c>
      <c r="S349" s="15"/>
      <c r="U349" s="12"/>
      <c r="V349" s="4"/>
      <c r="X349" s="4"/>
      <c r="Y349" s="13"/>
      <c r="Z349" s="13"/>
      <c r="AA349" s="4"/>
      <c r="AB349" s="4"/>
      <c r="AD349" s="9"/>
      <c r="AE349" s="5"/>
      <c r="AF349" s="11"/>
      <c r="AG349" s="11"/>
      <c r="AI349" s="9"/>
      <c r="AJ349" s="11"/>
      <c r="AK349" s="4"/>
    </row>
    <row r="350" spans="1:38" ht="43.5">
      <c r="A350" s="4" t="str">
        <f>A349</f>
        <v>2025-26</v>
      </c>
      <c r="B350" s="4">
        <f>B349</f>
        <v>21</v>
      </c>
      <c r="C350" s="4">
        <f>C349+1</f>
        <v>20</v>
      </c>
      <c r="D350" s="6" t="s">
        <v>1149</v>
      </c>
      <c r="E350" s="4" t="s">
        <v>2</v>
      </c>
      <c r="F350" s="4" t="str" cm="1">
        <f t="array" ref="F350">_xlfn.IFS(
  E350="Mahuva", "Mahuva",
  E350="Jesar", "Mahuva",
  E350="Palitana", "Palitana",
  E350="Gariyadhar", "Palitana",
  E350="Talaja", "Talaja",
  E350="Vallabhipur", "Vallabhipur",
  E350="Umrala", "Vallabhipur",
  E350="Shihor", "Shihor",
  E350="Ghogha", "Bhavnagar",
  E350="Bhavnagar", "Bhavnagar"
)</f>
        <v>Palitana</v>
      </c>
      <c r="G350" s="4" t="s">
        <v>19</v>
      </c>
      <c r="H350" s="4">
        <v>293808</v>
      </c>
      <c r="I350" s="4"/>
      <c r="M350" s="7">
        <v>22031483.859999999</v>
      </c>
      <c r="N350" s="7">
        <v>17819064.149999999</v>
      </c>
      <c r="O350" s="8">
        <v>-19.12</v>
      </c>
      <c r="P350" s="8" t="str">
        <f>IF(O350&lt;0,"Below",IF(O350&gt;0,"Above","Equals"))</f>
        <v>Below</v>
      </c>
      <c r="Q350" s="4" t="s">
        <v>13</v>
      </c>
      <c r="R350" s="5">
        <v>46155</v>
      </c>
      <c r="S350" s="15"/>
      <c r="U350" s="12"/>
      <c r="V350" s="4"/>
      <c r="X350" s="4"/>
      <c r="Y350" s="13"/>
      <c r="Z350" s="13"/>
      <c r="AA350" s="4"/>
      <c r="AB350" s="4"/>
      <c r="AD350" s="9"/>
      <c r="AE350" s="5"/>
      <c r="AF350" s="11"/>
      <c r="AG350" s="11"/>
      <c r="AI350" s="9"/>
      <c r="AJ350" s="11"/>
      <c r="AK350" s="4"/>
    </row>
    <row r="351" spans="1:38" ht="43.5">
      <c r="A351" s="4" t="s">
        <v>50</v>
      </c>
      <c r="B351" s="4">
        <v>22</v>
      </c>
      <c r="C351" s="4">
        <v>1</v>
      </c>
      <c r="D351" s="6" t="s">
        <v>973</v>
      </c>
      <c r="E351" s="4" t="s">
        <v>10</v>
      </c>
      <c r="F351" s="4" t="str" cm="1">
        <f t="array" ref="F351">_xlfn.IFS(
  E351="Mahuva", "Mahuva",
  E351="Jesar", "Mahuva",
  E351="Palitana", "Palitana",
  E351="Gariyadhar", "Palitana",
  E351="Talaja", "Talaja",
  E351="Vallabhipur", "Vallabhipur",
  E351="Umrala", "Vallabhipur",
  E351="Shihor", "Shihor",
  E351="Ghogha", "Bhavnagar",
  E351="Bhavnagar", "Bhavnagar"
)</f>
        <v>Mahuva</v>
      </c>
      <c r="G351" s="4" t="s">
        <v>19</v>
      </c>
      <c r="I351" s="4">
        <v>3</v>
      </c>
      <c r="O351" s="8"/>
      <c r="P351" s="8" t="str">
        <f>IF(O351&lt;0,"Below",IF(O351&gt;0,"Above","Equals"))</f>
        <v>Equals</v>
      </c>
      <c r="R351" s="5"/>
      <c r="S351" s="15"/>
      <c r="U351" s="12"/>
      <c r="V351" s="4"/>
      <c r="X351" s="4"/>
      <c r="Y351" s="13"/>
      <c r="Z351" s="13"/>
      <c r="AA351" s="4"/>
      <c r="AB351" s="4"/>
      <c r="AD351" s="9"/>
      <c r="AE351" s="5"/>
      <c r="AF351" s="11"/>
      <c r="AG351" s="11"/>
      <c r="AI351" s="9"/>
      <c r="AJ351" s="11"/>
      <c r="AK351" s="4"/>
    </row>
    <row r="352" spans="1:38" ht="58">
      <c r="A352" s="4" t="s">
        <v>50</v>
      </c>
      <c r="B352" s="4">
        <v>22</v>
      </c>
      <c r="C352" s="4">
        <v>2</v>
      </c>
      <c r="D352" s="6" t="s">
        <v>783</v>
      </c>
      <c r="E352" s="4" t="s">
        <v>0</v>
      </c>
      <c r="F352" s="4" t="str" cm="1">
        <f t="array" ref="F352">_xlfn.IFS(
  E352="Mahuva", "Mahuva",
  E352="Jesar", "Mahuva",
  E352="Palitana", "Palitana",
  E352="Gariyadhar", "Palitana",
  E352="Talaja", "Talaja",
  E352="Vallabhipur", "Vallabhipur",
  E352="Umrala", "Vallabhipur",
  E352="Shihor", "Shihor",
  E352="Ghogha", "Bhavnagar",
  E352="Bhavnagar", "Bhavnagar"
)</f>
        <v>Bhavnagar</v>
      </c>
      <c r="G352" s="4" t="s">
        <v>19</v>
      </c>
      <c r="H352" s="4">
        <v>243353</v>
      </c>
      <c r="I352" s="4">
        <v>2</v>
      </c>
      <c r="J352" s="5">
        <v>45975</v>
      </c>
      <c r="K352" s="5">
        <v>45987</v>
      </c>
      <c r="L352" s="5">
        <v>45988</v>
      </c>
      <c r="M352" s="7">
        <v>96162650.909999996</v>
      </c>
      <c r="N352" s="7">
        <v>105778916</v>
      </c>
      <c r="O352" s="8">
        <v>10</v>
      </c>
      <c r="P352" s="8" t="str">
        <f>IF(O352&lt;0,"Below",IF(O352&gt;0,"Above","Equals"))</f>
        <v>Above</v>
      </c>
      <c r="Q352" s="4" t="s">
        <v>1000</v>
      </c>
      <c r="R352" s="5">
        <v>46050</v>
      </c>
      <c r="S352" s="15" t="s">
        <v>1099</v>
      </c>
      <c r="T352" s="14">
        <v>46106</v>
      </c>
      <c r="U352" s="12">
        <v>11</v>
      </c>
      <c r="V352" s="4">
        <v>420</v>
      </c>
      <c r="W352" s="14">
        <v>46108</v>
      </c>
      <c r="X352" s="4"/>
      <c r="Y352" s="13"/>
      <c r="Z352" s="13"/>
      <c r="AA352" s="4"/>
      <c r="AB352" s="4"/>
      <c r="AD352" s="9"/>
      <c r="AE352" s="5"/>
      <c r="AF352" s="11"/>
      <c r="AG352" s="11"/>
      <c r="AI352" s="9"/>
      <c r="AJ352" s="11"/>
      <c r="AK352" s="4"/>
    </row>
    <row r="353" spans="1:38" ht="43.5">
      <c r="A353" s="4" t="s">
        <v>50</v>
      </c>
      <c r="B353" s="4">
        <v>22</v>
      </c>
      <c r="C353" s="4">
        <v>3</v>
      </c>
      <c r="D353" s="6" t="s">
        <v>828</v>
      </c>
      <c r="E353" s="4" t="s">
        <v>11</v>
      </c>
      <c r="F353" s="4" t="str" cm="1">
        <f t="array" ref="F353">_xlfn.IFS(
  E353="Mahuva", "Mahuva",
  E353="Jesar", "Mahuva",
  E353="Palitana", "Palitana",
  E353="Gariyadhar", "Palitana",
  E353="Talaja", "Talaja",
  E353="Vallabhipur", "Vallabhipur",
  E353="Umrala", "Vallabhipur",
  E353="Shihor", "Shihor",
  E353="Ghogha", "Bhavnagar",
  E353="Bhavnagar", "Bhavnagar"
)</f>
        <v>Shihor</v>
      </c>
      <c r="G353" s="4" t="s">
        <v>206</v>
      </c>
      <c r="H353" s="4">
        <v>243378</v>
      </c>
      <c r="I353" s="4">
        <v>1</v>
      </c>
      <c r="J353" s="5">
        <v>45975</v>
      </c>
      <c r="K353" s="5">
        <v>45987</v>
      </c>
      <c r="L353" s="5">
        <v>45988</v>
      </c>
      <c r="M353" s="7">
        <v>33146866.050000001</v>
      </c>
      <c r="N353" s="7">
        <v>26113101.07</v>
      </c>
      <c r="O353" s="8">
        <v>-21.22</v>
      </c>
      <c r="P353" s="8" t="str">
        <f>IF(O353&lt;0,"Below",IF(O353&gt;0,"Above","Equals"))</f>
        <v>Below</v>
      </c>
      <c r="Q353" s="4" t="s">
        <v>829</v>
      </c>
      <c r="R353" s="5">
        <v>45997</v>
      </c>
      <c r="S353" s="6" t="s">
        <v>830</v>
      </c>
      <c r="T353" s="14">
        <v>46003</v>
      </c>
      <c r="U353" s="12">
        <v>11</v>
      </c>
      <c r="V353" s="4">
        <v>1740</v>
      </c>
      <c r="W353" s="14">
        <v>46003</v>
      </c>
      <c r="X353" s="4" t="s">
        <v>50</v>
      </c>
      <c r="Y353" s="13">
        <v>344</v>
      </c>
      <c r="Z353" s="38">
        <v>46108</v>
      </c>
      <c r="AA353" s="4" t="s">
        <v>299</v>
      </c>
      <c r="AB353" s="4" t="s">
        <v>944</v>
      </c>
      <c r="AC353" s="33" t="s">
        <v>1107</v>
      </c>
      <c r="AD353" s="9">
        <v>1306000</v>
      </c>
      <c r="AE353" s="5">
        <v>46020</v>
      </c>
      <c r="AF353" s="4" t="s">
        <v>299</v>
      </c>
      <c r="AG353" s="4" t="s">
        <v>944</v>
      </c>
      <c r="AH353" s="33" t="s">
        <v>1108</v>
      </c>
      <c r="AI353" s="9">
        <v>1116000</v>
      </c>
      <c r="AJ353" s="5">
        <v>46020</v>
      </c>
      <c r="AK353" s="4">
        <v>427</v>
      </c>
      <c r="AL353" s="14">
        <v>46108</v>
      </c>
    </row>
    <row r="354" spans="1:38" ht="43.5">
      <c r="A354" s="4" t="s">
        <v>50</v>
      </c>
      <c r="B354" s="4">
        <v>22</v>
      </c>
      <c r="C354" s="4">
        <v>4</v>
      </c>
      <c r="D354" s="6" t="s">
        <v>831</v>
      </c>
      <c r="E354" s="4" t="s">
        <v>2</v>
      </c>
      <c r="F354" s="4" t="str" cm="1">
        <f t="array" ref="F354">_xlfn.IFS(
  E354="Mahuva", "Mahuva",
  E354="Jesar", "Mahuva",
  E354="Palitana", "Palitana",
  E354="Gariyadhar", "Palitana",
  E354="Talaja", "Talaja",
  E354="Vallabhipur", "Vallabhipur",
  E354="Umrala", "Vallabhipur",
  E354="Shihor", "Shihor",
  E354="Ghogha", "Bhavnagar",
  E354="Bhavnagar", "Bhavnagar"
)</f>
        <v>Palitana</v>
      </c>
      <c r="G354" s="4" t="s">
        <v>206</v>
      </c>
      <c r="H354" s="4">
        <v>243393</v>
      </c>
      <c r="I354" s="4">
        <v>1</v>
      </c>
      <c r="J354" s="5">
        <v>45975</v>
      </c>
      <c r="K354" s="5">
        <v>45987</v>
      </c>
      <c r="L354" s="5">
        <v>45988</v>
      </c>
      <c r="M354" s="7">
        <v>32363184.190000001</v>
      </c>
      <c r="N354" s="7">
        <v>24848452.82</v>
      </c>
      <c r="O354" s="8">
        <v>-23.22</v>
      </c>
      <c r="P354" s="8" t="str">
        <f>IF(O354&lt;0,"Below",IF(O354&gt;0,"Above","Equals"))</f>
        <v>Below</v>
      </c>
      <c r="Q354" s="4" t="s">
        <v>829</v>
      </c>
      <c r="R354" s="5">
        <v>45997</v>
      </c>
      <c r="S354" s="6" t="s">
        <v>832</v>
      </c>
      <c r="T354" s="14">
        <v>46003</v>
      </c>
      <c r="U354" s="12">
        <v>11</v>
      </c>
      <c r="V354" s="4">
        <v>1741</v>
      </c>
      <c r="W354" s="14">
        <v>46003</v>
      </c>
      <c r="X354" s="4" t="s">
        <v>50</v>
      </c>
      <c r="Y354" s="13">
        <v>261</v>
      </c>
      <c r="Z354" s="26">
        <v>46037</v>
      </c>
      <c r="AA354" s="4" t="s">
        <v>299</v>
      </c>
      <c r="AB354" s="4" t="s">
        <v>944</v>
      </c>
      <c r="AC354" s="33" t="s">
        <v>945</v>
      </c>
      <c r="AD354" s="9">
        <v>1243000</v>
      </c>
      <c r="AE354" s="5">
        <v>46020</v>
      </c>
      <c r="AF354" s="4" t="s">
        <v>299</v>
      </c>
      <c r="AG354" s="4" t="s">
        <v>944</v>
      </c>
      <c r="AH354" s="33" t="s">
        <v>946</v>
      </c>
      <c r="AI354" s="9">
        <v>1284000</v>
      </c>
      <c r="AJ354" s="5">
        <v>46020</v>
      </c>
      <c r="AK354" s="4">
        <v>45</v>
      </c>
      <c r="AL354" s="14">
        <v>46037</v>
      </c>
    </row>
    <row r="355" spans="1:38" ht="29">
      <c r="A355" s="4" t="s">
        <v>50</v>
      </c>
      <c r="B355" s="4">
        <v>22</v>
      </c>
      <c r="C355" s="4">
        <v>5</v>
      </c>
      <c r="D355" s="6" t="s">
        <v>978</v>
      </c>
      <c r="E355" s="4" t="s">
        <v>10</v>
      </c>
      <c r="F355" s="4" t="str" cm="1">
        <f t="array" ref="F355">_xlfn.IFS(
  E355="Mahuva", "Mahuva",
  E355="Jesar", "Mahuva",
  E355="Palitana", "Palitana",
  E355="Gariyadhar", "Palitana",
  E355="Talaja", "Talaja",
  E355="Vallabhipur", "Vallabhipur",
  E355="Umrala", "Vallabhipur",
  E355="Shihor", "Shihor",
  E355="Ghogha", "Bhavnagar",
  E355="Bhavnagar", "Bhavnagar"
)</f>
        <v>Mahuva</v>
      </c>
      <c r="G355" s="4" t="s">
        <v>19</v>
      </c>
      <c r="I355" s="4">
        <v>1</v>
      </c>
      <c r="J355" s="5">
        <v>45975</v>
      </c>
      <c r="K355" s="5">
        <v>45987</v>
      </c>
      <c r="L355" s="5">
        <v>45988</v>
      </c>
      <c r="O355" s="8"/>
      <c r="P355" s="8" t="str">
        <f>IF(O355&lt;0,"Below",IF(O355&gt;0,"Above","Equals"))</f>
        <v>Equals</v>
      </c>
      <c r="R355" s="5"/>
      <c r="S355" s="15"/>
      <c r="U355" s="12"/>
      <c r="V355" s="4"/>
      <c r="X355" s="4"/>
      <c r="Y355" s="13"/>
      <c r="Z355" s="13"/>
      <c r="AA355" s="4"/>
      <c r="AB355" s="4"/>
      <c r="AD355" s="9"/>
      <c r="AE355" s="5"/>
      <c r="AF355" s="11"/>
      <c r="AG355" s="11"/>
      <c r="AI355" s="9"/>
      <c r="AJ355" s="11"/>
      <c r="AK355" s="4"/>
    </row>
    <row r="356" spans="1:38" ht="58">
      <c r="A356" s="4" t="str">
        <f>A355</f>
        <v>2025-26</v>
      </c>
      <c r="B356" s="4">
        <f>B355</f>
        <v>22</v>
      </c>
      <c r="C356" s="4">
        <f>C355+1</f>
        <v>6</v>
      </c>
      <c r="D356" s="6" t="s">
        <v>1151</v>
      </c>
      <c r="E356" s="4" t="s">
        <v>228</v>
      </c>
      <c r="F356" s="4" t="str" cm="1">
        <f t="array" ref="F356">_xlfn.IFS(
  E356="Mahuva", "Mahuva",
  E356="Jesar", "Mahuva",
  E356="Palitana", "Palitana",
  E356="Gariyadhar", "Palitana",
  E356="Talaja", "Talaja",
  E356="Vallabhipur", "Vallabhipur",
  E356="Umrala", "Vallabhipur",
  E356="Shihor", "Shihor",
  E356="Ghogha", "Bhavnagar",
  E356="Bhavnagar", "Bhavnagar"
)</f>
        <v>Mahuva</v>
      </c>
      <c r="G356" s="4" t="s">
        <v>19</v>
      </c>
      <c r="H356" s="4">
        <v>293755</v>
      </c>
      <c r="I356" s="6"/>
      <c r="M356" s="7">
        <v>12011936.720000001</v>
      </c>
      <c r="N356" s="7">
        <v>9453394.1999999993</v>
      </c>
      <c r="O356" s="8">
        <v>-21.3</v>
      </c>
      <c r="P356" s="8" t="str">
        <f>IF(O356&lt;0,"Below",IF(O356&gt;0,"Above","Equals"))</f>
        <v>Below</v>
      </c>
      <c r="Q356" s="4" t="s">
        <v>13</v>
      </c>
      <c r="R356" s="5">
        <v>46155</v>
      </c>
      <c r="S356" s="15"/>
      <c r="U356" s="12"/>
      <c r="V356" s="4"/>
      <c r="X356" s="4"/>
      <c r="Y356" s="13"/>
      <c r="Z356" s="13"/>
      <c r="AA356" s="4"/>
      <c r="AB356" s="4"/>
      <c r="AD356" s="9"/>
      <c r="AE356" s="5"/>
      <c r="AF356" s="11"/>
      <c r="AG356" s="11"/>
      <c r="AI356" s="9"/>
      <c r="AJ356" s="11"/>
      <c r="AK356" s="4"/>
    </row>
    <row r="357" spans="1:38" ht="87">
      <c r="A357" s="4" t="s">
        <v>50</v>
      </c>
      <c r="B357" s="4">
        <v>23</v>
      </c>
      <c r="C357" s="4">
        <v>1</v>
      </c>
      <c r="D357" s="6" t="s">
        <v>980</v>
      </c>
      <c r="E357" s="4" t="s">
        <v>979</v>
      </c>
      <c r="F357" s="4" t="s">
        <v>979</v>
      </c>
      <c r="G357" s="4" t="s">
        <v>562</v>
      </c>
      <c r="H357" s="4">
        <v>243200</v>
      </c>
      <c r="I357" s="4">
        <v>3</v>
      </c>
      <c r="J357" s="5">
        <v>45975</v>
      </c>
      <c r="K357" s="5">
        <v>45987</v>
      </c>
      <c r="L357" s="5">
        <v>45988</v>
      </c>
      <c r="M357" s="7">
        <v>248929554.08000001</v>
      </c>
      <c r="N357" s="7">
        <v>275241407.94999999</v>
      </c>
      <c r="O357" s="8">
        <v>10.57</v>
      </c>
      <c r="P357" s="8" t="str">
        <f>IF(O357&lt;0,"Below",IF(O357&gt;0,"Above","Equals"))</f>
        <v>Above</v>
      </c>
      <c r="Q357" s="4" t="s">
        <v>981</v>
      </c>
      <c r="R357" s="5">
        <v>46050</v>
      </c>
      <c r="S357" s="15" t="s">
        <v>1101</v>
      </c>
      <c r="T357" s="14">
        <v>46106</v>
      </c>
      <c r="U357" s="12">
        <v>12</v>
      </c>
      <c r="V357" s="4">
        <v>421</v>
      </c>
      <c r="W357" s="14">
        <v>46108</v>
      </c>
      <c r="X357" s="4"/>
      <c r="Y357" s="13"/>
      <c r="Z357" s="13"/>
      <c r="AA357" s="4"/>
      <c r="AB357" s="4"/>
      <c r="AD357" s="9"/>
      <c r="AE357" s="5"/>
      <c r="AF357" s="11"/>
      <c r="AG357" s="11"/>
      <c r="AI357" s="9"/>
      <c r="AJ357" s="11"/>
      <c r="AK357" s="4"/>
    </row>
    <row r="358" spans="1:38" ht="43.5">
      <c r="A358" s="4" t="s">
        <v>50</v>
      </c>
      <c r="B358" s="4">
        <v>24</v>
      </c>
      <c r="C358" s="4">
        <v>1</v>
      </c>
      <c r="D358" s="6" t="s">
        <v>854</v>
      </c>
      <c r="E358" s="4" t="s">
        <v>3</v>
      </c>
      <c r="F358" s="4" t="str" cm="1">
        <f t="array" ref="F358">_xlfn.IFS(
  E358="Mahuva", "Mahuva",
  E358="Jesar", "Mahuva",
  E358="Palitana", "Palitana",
  E358="Gariyadhar", "Palitana",
  E358="Talaja", "Talaja",
  E358="Vallabhipur", "Vallabhipur",
  E358="Umrala", "Vallabhipur",
  E358="Shihor", "Shihor",
  E358="Ghogha", "Bhavnagar",
  E358="Bhavnagar", "Bhavnagar"
)</f>
        <v>Talaja</v>
      </c>
      <c r="G358" s="4" t="s">
        <v>206</v>
      </c>
      <c r="H358" s="4">
        <v>253555</v>
      </c>
      <c r="I358" s="4">
        <v>1</v>
      </c>
      <c r="J358" s="5">
        <v>46004</v>
      </c>
      <c r="K358" s="5">
        <v>46013</v>
      </c>
      <c r="L358" s="5">
        <v>46014</v>
      </c>
      <c r="M358" s="7">
        <v>2079935.15</v>
      </c>
      <c r="N358" s="7">
        <v>1766904.91</v>
      </c>
      <c r="O358" s="8">
        <v>-15.05</v>
      </c>
      <c r="P358" s="8" t="str">
        <f>IF(O358&lt;0,"Below",IF(O358&gt;0,"Above","Equals"))</f>
        <v>Below</v>
      </c>
      <c r="Q358" s="4" t="s">
        <v>842</v>
      </c>
      <c r="R358" s="5"/>
      <c r="S358" s="15"/>
      <c r="U358" s="12">
        <v>4</v>
      </c>
      <c r="V358" s="4">
        <v>1805</v>
      </c>
      <c r="W358" s="14">
        <v>46020</v>
      </c>
      <c r="X358" s="4" t="s">
        <v>50</v>
      </c>
      <c r="Y358" s="13">
        <v>325</v>
      </c>
      <c r="Z358" s="26">
        <v>46088</v>
      </c>
      <c r="AA358" s="4" t="s">
        <v>299</v>
      </c>
      <c r="AB358" s="4" t="s">
        <v>312</v>
      </c>
      <c r="AC358" s="33" t="s">
        <v>1045</v>
      </c>
      <c r="AD358" s="9">
        <v>89000</v>
      </c>
      <c r="AE358" s="5">
        <v>46080</v>
      </c>
      <c r="AF358" s="4" t="s">
        <v>299</v>
      </c>
      <c r="AG358" s="4" t="s">
        <v>312</v>
      </c>
      <c r="AH358" s="33" t="s">
        <v>1046</v>
      </c>
      <c r="AI358" s="9">
        <v>22000</v>
      </c>
      <c r="AJ358" s="5">
        <v>46080</v>
      </c>
      <c r="AK358" s="4">
        <v>329</v>
      </c>
      <c r="AL358" s="14">
        <v>46088</v>
      </c>
    </row>
    <row r="359" spans="1:38" ht="43.5">
      <c r="A359" s="4" t="s">
        <v>50</v>
      </c>
      <c r="B359" s="4">
        <v>24</v>
      </c>
      <c r="C359" s="4">
        <v>2</v>
      </c>
      <c r="D359" s="6" t="s">
        <v>855</v>
      </c>
      <c r="E359" s="4" t="s">
        <v>3</v>
      </c>
      <c r="F359" s="4" t="str" cm="1">
        <f t="array" ref="F359">_xlfn.IFS(
  E359="Mahuva", "Mahuva",
  E359="Jesar", "Mahuva",
  E359="Palitana", "Palitana",
  E359="Gariyadhar", "Palitana",
  E359="Talaja", "Talaja",
  E359="Vallabhipur", "Vallabhipur",
  E359="Umrala", "Vallabhipur",
  E359="Shihor", "Shihor",
  E359="Ghogha", "Bhavnagar",
  E359="Bhavnagar", "Bhavnagar"
)</f>
        <v>Talaja</v>
      </c>
      <c r="G359" s="4" t="s">
        <v>206</v>
      </c>
      <c r="H359" s="4">
        <v>253571</v>
      </c>
      <c r="I359" s="4">
        <v>1</v>
      </c>
      <c r="J359" s="5">
        <v>46004</v>
      </c>
      <c r="K359" s="5">
        <v>46013</v>
      </c>
      <c r="L359" s="5">
        <v>46014</v>
      </c>
      <c r="M359" s="7">
        <v>2880152.67</v>
      </c>
      <c r="N359" s="7">
        <v>2470594.96</v>
      </c>
      <c r="O359" s="8">
        <v>-14.22</v>
      </c>
      <c r="P359" s="8" t="str">
        <f>IF(O359&lt;0,"Below",IF(O359&gt;0,"Above","Equals"))</f>
        <v>Below</v>
      </c>
      <c r="Q359" s="4" t="s">
        <v>351</v>
      </c>
      <c r="R359" s="5"/>
      <c r="S359" s="15"/>
      <c r="U359" s="12">
        <v>4</v>
      </c>
      <c r="V359" s="4">
        <v>1806</v>
      </c>
      <c r="W359" s="14">
        <v>46020</v>
      </c>
      <c r="X359" s="4"/>
      <c r="Y359" s="13"/>
      <c r="Z359" s="13"/>
      <c r="AA359" s="4"/>
      <c r="AB359" s="4"/>
      <c r="AD359" s="9"/>
      <c r="AE359" s="5"/>
      <c r="AF359" s="11"/>
      <c r="AG359" s="11"/>
      <c r="AI359" s="9"/>
      <c r="AJ359" s="11"/>
      <c r="AK359" s="4"/>
    </row>
    <row r="360" spans="1:38" ht="43.5">
      <c r="A360" s="4" t="s">
        <v>50</v>
      </c>
      <c r="B360" s="4">
        <v>24</v>
      </c>
      <c r="C360" s="4">
        <v>3</v>
      </c>
      <c r="D360" s="6" t="s">
        <v>856</v>
      </c>
      <c r="E360" s="4" t="s">
        <v>3</v>
      </c>
      <c r="F360" s="4" t="str" cm="1">
        <f t="array" ref="F360">_xlfn.IFS(
  E360="Mahuva", "Mahuva",
  E360="Jesar", "Mahuva",
  E360="Palitana", "Palitana",
  E360="Gariyadhar", "Palitana",
  E360="Talaja", "Talaja",
  E360="Vallabhipur", "Vallabhipur",
  E360="Umrala", "Vallabhipur",
  E360="Shihor", "Shihor",
  E360="Ghogha", "Bhavnagar",
  E360="Bhavnagar", "Bhavnagar"
)</f>
        <v>Talaja</v>
      </c>
      <c r="G360" s="4" t="s">
        <v>206</v>
      </c>
      <c r="H360" s="4">
        <v>253556</v>
      </c>
      <c r="I360" s="4">
        <v>1</v>
      </c>
      <c r="J360" s="5">
        <v>46004</v>
      </c>
      <c r="K360" s="5">
        <v>46013</v>
      </c>
      <c r="L360" s="5">
        <v>46014</v>
      </c>
      <c r="M360" s="7">
        <v>2079935.15</v>
      </c>
      <c r="N360" s="7">
        <v>1913540.34</v>
      </c>
      <c r="O360" s="8">
        <v>-8</v>
      </c>
      <c r="P360" s="8" t="str">
        <f>IF(O360&lt;0,"Below",IF(O360&gt;0,"Above","Equals"))</f>
        <v>Below</v>
      </c>
      <c r="Q360" s="4" t="s">
        <v>843</v>
      </c>
      <c r="R360" s="5"/>
      <c r="S360" s="15"/>
      <c r="U360" s="12">
        <v>4</v>
      </c>
      <c r="V360" s="4">
        <v>1807</v>
      </c>
      <c r="W360" s="14">
        <v>46020</v>
      </c>
      <c r="X360" s="4" t="s">
        <v>50</v>
      </c>
      <c r="Y360" s="13">
        <v>283</v>
      </c>
      <c r="Z360" s="26">
        <v>46042</v>
      </c>
      <c r="AA360" s="4" t="s">
        <v>299</v>
      </c>
      <c r="AB360" s="4" t="s">
        <v>312</v>
      </c>
      <c r="AC360" s="33">
        <v>44824011769</v>
      </c>
      <c r="AD360" s="9">
        <v>96000</v>
      </c>
      <c r="AE360" s="5">
        <v>46034</v>
      </c>
      <c r="AF360" s="11"/>
      <c r="AG360" s="11"/>
      <c r="AI360" s="9"/>
      <c r="AJ360" s="11"/>
      <c r="AK360" s="4">
        <v>77</v>
      </c>
      <c r="AL360" s="26">
        <v>46042</v>
      </c>
    </row>
    <row r="361" spans="1:38" ht="43.5">
      <c r="A361" s="4" t="s">
        <v>50</v>
      </c>
      <c r="B361" s="4">
        <v>24</v>
      </c>
      <c r="C361" s="4">
        <v>4</v>
      </c>
      <c r="D361" s="6" t="s">
        <v>857</v>
      </c>
      <c r="E361" s="4" t="s">
        <v>3</v>
      </c>
      <c r="F361" s="4" t="str" cm="1">
        <f t="array" ref="F361">_xlfn.IFS(
  E361="Mahuva", "Mahuva",
  E361="Jesar", "Mahuva",
  E361="Palitana", "Palitana",
  E361="Gariyadhar", "Palitana",
  E361="Talaja", "Talaja",
  E361="Vallabhipur", "Vallabhipur",
  E361="Umrala", "Vallabhipur",
  E361="Shihor", "Shihor",
  E361="Ghogha", "Bhavnagar",
  E361="Bhavnagar", "Bhavnagar"
)</f>
        <v>Talaja</v>
      </c>
      <c r="G361" s="4" t="s">
        <v>206</v>
      </c>
      <c r="H361" s="4">
        <v>253572</v>
      </c>
      <c r="I361" s="4">
        <v>1</v>
      </c>
      <c r="J361" s="5">
        <v>46004</v>
      </c>
      <c r="K361" s="5">
        <v>46013</v>
      </c>
      <c r="L361" s="5">
        <v>46014</v>
      </c>
      <c r="M361" s="7">
        <v>2880152.67</v>
      </c>
      <c r="N361" s="7">
        <v>2573128.4</v>
      </c>
      <c r="O361" s="8">
        <v>-10.66</v>
      </c>
      <c r="P361" s="8" t="str">
        <f>IF(O361&lt;0,"Below",IF(O361&gt;0,"Above","Equals"))</f>
        <v>Below</v>
      </c>
      <c r="Q361" s="4" t="s">
        <v>337</v>
      </c>
      <c r="R361" s="5"/>
      <c r="S361" s="15"/>
      <c r="U361" s="12">
        <v>4</v>
      </c>
      <c r="V361" s="4">
        <v>1808</v>
      </c>
      <c r="W361" s="14">
        <v>46020</v>
      </c>
      <c r="X361" s="4" t="s">
        <v>50</v>
      </c>
      <c r="Y361" s="13">
        <v>346</v>
      </c>
      <c r="Z361" s="26">
        <v>46108</v>
      </c>
      <c r="AA361" s="4" t="s">
        <v>299</v>
      </c>
      <c r="AB361" s="4" t="s">
        <v>1110</v>
      </c>
      <c r="AC361" s="33" t="s">
        <v>1111</v>
      </c>
      <c r="AD361" s="9">
        <v>129000</v>
      </c>
      <c r="AE361" s="5">
        <v>46091</v>
      </c>
      <c r="AF361" s="4" t="s">
        <v>299</v>
      </c>
      <c r="AG361" s="4" t="s">
        <v>1110</v>
      </c>
      <c r="AH361" s="33" t="s">
        <v>1112</v>
      </c>
      <c r="AI361" s="9">
        <v>4000</v>
      </c>
      <c r="AJ361" s="5">
        <v>46097</v>
      </c>
      <c r="AK361" s="4">
        <v>429</v>
      </c>
      <c r="AL361" s="26">
        <v>46108</v>
      </c>
    </row>
    <row r="362" spans="1:38" ht="43.5">
      <c r="A362" s="4" t="s">
        <v>50</v>
      </c>
      <c r="B362" s="4">
        <v>24</v>
      </c>
      <c r="C362" s="4">
        <v>5</v>
      </c>
      <c r="D362" s="6" t="s">
        <v>858</v>
      </c>
      <c r="E362" s="4" t="s">
        <v>3</v>
      </c>
      <c r="F362" s="4" t="str" cm="1">
        <f t="array" ref="F362">_xlfn.IFS(
  E362="Mahuva", "Mahuva",
  E362="Jesar", "Mahuva",
  E362="Palitana", "Palitana",
  E362="Gariyadhar", "Palitana",
  E362="Talaja", "Talaja",
  E362="Vallabhipur", "Vallabhipur",
  E362="Umrala", "Vallabhipur",
  E362="Shihor", "Shihor",
  E362="Ghogha", "Bhavnagar",
  E362="Bhavnagar", "Bhavnagar"
)</f>
        <v>Talaja</v>
      </c>
      <c r="G362" s="4" t="s">
        <v>206</v>
      </c>
      <c r="H362" s="4">
        <v>253557</v>
      </c>
      <c r="I362" s="4">
        <v>1</v>
      </c>
      <c r="J362" s="5">
        <v>46004</v>
      </c>
      <c r="K362" s="5">
        <v>46013</v>
      </c>
      <c r="L362" s="5">
        <v>46014</v>
      </c>
      <c r="M362" s="7">
        <v>2079935.15</v>
      </c>
      <c r="N362" s="7">
        <v>1802679.79</v>
      </c>
      <c r="O362" s="8">
        <v>-13.33</v>
      </c>
      <c r="P362" s="8" t="str">
        <f>IF(O362&lt;0,"Below",IF(O362&gt;0,"Above","Equals"))</f>
        <v>Below</v>
      </c>
      <c r="Q362" s="4" t="s">
        <v>352</v>
      </c>
      <c r="R362" s="5"/>
      <c r="S362" s="15"/>
      <c r="U362" s="12">
        <v>4</v>
      </c>
      <c r="V362" s="4">
        <v>1809</v>
      </c>
      <c r="W362" s="14">
        <v>46020</v>
      </c>
      <c r="X362" s="4" t="s">
        <v>1126</v>
      </c>
      <c r="Y362" s="13">
        <v>16</v>
      </c>
      <c r="Z362" s="26">
        <v>46160</v>
      </c>
      <c r="AA362" s="4" t="s">
        <v>299</v>
      </c>
      <c r="AB362" s="4" t="s">
        <v>312</v>
      </c>
      <c r="AC362" s="33" t="s">
        <v>1165</v>
      </c>
      <c r="AD362" s="9">
        <v>91000</v>
      </c>
      <c r="AE362" s="5">
        <v>46094</v>
      </c>
      <c r="AF362" s="4" t="s">
        <v>299</v>
      </c>
      <c r="AG362" s="4" t="s">
        <v>312</v>
      </c>
      <c r="AH362" s="33" t="s">
        <v>1164</v>
      </c>
      <c r="AI362" s="9">
        <v>14000</v>
      </c>
      <c r="AJ362" s="5">
        <v>45733</v>
      </c>
      <c r="AK362" s="4">
        <v>572</v>
      </c>
      <c r="AL362" s="26">
        <v>46160</v>
      </c>
    </row>
    <row r="363" spans="1:38" ht="43.5">
      <c r="A363" s="4" t="s">
        <v>50</v>
      </c>
      <c r="B363" s="4">
        <v>24</v>
      </c>
      <c r="C363" s="4">
        <v>6</v>
      </c>
      <c r="D363" s="6" t="s">
        <v>929</v>
      </c>
      <c r="E363" s="4"/>
      <c r="F363" s="4" t="e" cm="1">
        <f t="array" ref="F363">_xlfn.IFS(
  E363="Mahuva", "Mahuva",
  E363="Jesar", "Mahuva",
  E363="Palitana", "Palitana",
  E363="Gariyadhar", "Palitana",
  E363="Talaja", "Talaja",
  E363="Vallabhipur", "Vallabhipur",
  E363="Umrala", "Vallabhipur",
  E363="Shihor", "Shihor",
  E363="Ghogha", "Bhavnagar",
  E363="Bhavnagar", "Bhavnagar"
)</f>
        <v>#N/A</v>
      </c>
      <c r="G363" s="4" t="s">
        <v>206</v>
      </c>
      <c r="H363" s="4">
        <v>253577</v>
      </c>
      <c r="I363" s="4">
        <v>1</v>
      </c>
      <c r="J363" s="5">
        <v>46004</v>
      </c>
      <c r="K363" s="5">
        <v>46013</v>
      </c>
      <c r="L363" s="5">
        <v>46014</v>
      </c>
      <c r="O363" s="8"/>
      <c r="P363" s="8" t="str">
        <f>IF(O363&lt;0,"Below",IF(O363&gt;0,"Above","Equals"))</f>
        <v>Equals</v>
      </c>
      <c r="R363" s="5"/>
      <c r="S363" s="15"/>
      <c r="U363" s="12">
        <v>4</v>
      </c>
      <c r="V363" s="4"/>
      <c r="X363" s="4"/>
      <c r="Y363" s="13"/>
      <c r="Z363" s="13"/>
      <c r="AA363" s="4"/>
      <c r="AB363" s="4"/>
      <c r="AD363" s="9"/>
      <c r="AE363" s="5"/>
      <c r="AF363" s="11"/>
      <c r="AG363" s="11"/>
      <c r="AI363" s="9"/>
      <c r="AJ363" s="11"/>
      <c r="AK363" s="4"/>
    </row>
    <row r="364" spans="1:38" ht="43.5">
      <c r="A364" s="4" t="s">
        <v>50</v>
      </c>
      <c r="B364" s="4">
        <v>24</v>
      </c>
      <c r="C364" s="4">
        <v>7</v>
      </c>
      <c r="D364" s="6" t="s">
        <v>997</v>
      </c>
      <c r="E364" s="4" t="s">
        <v>3</v>
      </c>
      <c r="F364" s="4" t="str" cm="1">
        <f t="array" ref="F364">_xlfn.IFS(
  E364="Mahuva", "Mahuva",
  E364="Jesar", "Mahuva",
  E364="Palitana", "Palitana",
  E364="Gariyadhar", "Palitana",
  E364="Talaja", "Talaja",
  E364="Vallabhipur", "Vallabhipur",
  E364="Umrala", "Vallabhipur",
  E364="Shihor", "Shihor",
  E364="Ghogha", "Bhavnagar",
  E364="Bhavnagar", "Bhavnagar"
)</f>
        <v>Talaja</v>
      </c>
      <c r="G364" s="4" t="s">
        <v>206</v>
      </c>
      <c r="H364" s="4">
        <v>253580</v>
      </c>
      <c r="I364" s="4">
        <v>1</v>
      </c>
      <c r="J364" s="5">
        <v>46004</v>
      </c>
      <c r="K364" s="5">
        <v>46013</v>
      </c>
      <c r="L364" s="5">
        <v>46014</v>
      </c>
      <c r="M364" s="7">
        <v>2067497.06</v>
      </c>
      <c r="N364" s="7">
        <v>1863021.6</v>
      </c>
      <c r="O364" s="8">
        <v>-9.89</v>
      </c>
      <c r="P364" s="8" t="str">
        <f>IF(O364&lt;0,"Below",IF(O364&gt;0,"Above","Equals"))</f>
        <v>Below</v>
      </c>
      <c r="Q364" s="4" t="s">
        <v>337</v>
      </c>
      <c r="R364" s="5"/>
      <c r="S364" s="15"/>
      <c r="U364" s="12">
        <v>4</v>
      </c>
      <c r="V364" s="4">
        <v>1811</v>
      </c>
      <c r="W364" s="14">
        <v>46020</v>
      </c>
      <c r="X364" s="4" t="s">
        <v>50</v>
      </c>
      <c r="Y364" s="13">
        <v>347</v>
      </c>
      <c r="Z364" s="26">
        <v>46108</v>
      </c>
      <c r="AA364" s="4" t="s">
        <v>299</v>
      </c>
      <c r="AB364" s="4" t="s">
        <v>1110</v>
      </c>
      <c r="AC364" s="33" t="s">
        <v>1113</v>
      </c>
      <c r="AD364" s="9">
        <v>94000</v>
      </c>
      <c r="AE364" s="5">
        <v>46091</v>
      </c>
      <c r="AF364" s="11"/>
      <c r="AG364" s="11"/>
      <c r="AI364" s="9"/>
      <c r="AJ364" s="11"/>
      <c r="AK364" s="4">
        <v>430</v>
      </c>
      <c r="AL364" s="26">
        <v>46108</v>
      </c>
    </row>
    <row r="365" spans="1:38" ht="43.5">
      <c r="A365" s="4" t="s">
        <v>50</v>
      </c>
      <c r="B365" s="4">
        <v>24</v>
      </c>
      <c r="C365" s="4">
        <v>8</v>
      </c>
      <c r="D365" s="6" t="s">
        <v>859</v>
      </c>
      <c r="E365" s="4" t="s">
        <v>3</v>
      </c>
      <c r="F365" s="4" t="str" cm="1">
        <f t="array" ref="F365">_xlfn.IFS(
  E365="Mahuva", "Mahuva",
  E365="Jesar", "Mahuva",
  E365="Palitana", "Palitana",
  E365="Gariyadhar", "Palitana",
  E365="Talaja", "Talaja",
  E365="Vallabhipur", "Vallabhipur",
  E365="Umrala", "Vallabhipur",
  E365="Shihor", "Shihor",
  E365="Ghogha", "Bhavnagar",
  E365="Bhavnagar", "Bhavnagar"
)</f>
        <v>Talaja</v>
      </c>
      <c r="G365" s="4" t="s">
        <v>206</v>
      </c>
      <c r="H365" s="4">
        <v>253581</v>
      </c>
      <c r="I365" s="4">
        <v>1</v>
      </c>
      <c r="J365" s="5">
        <v>46004</v>
      </c>
      <c r="K365" s="5">
        <v>46013</v>
      </c>
      <c r="L365" s="5">
        <v>46014</v>
      </c>
      <c r="M365" s="7">
        <v>2067497.06</v>
      </c>
      <c r="N365" s="7">
        <v>1814848.92</v>
      </c>
      <c r="O365" s="8">
        <v>-12.22</v>
      </c>
      <c r="P365" s="8" t="str">
        <f>IF(O365&lt;0,"Below",IF(O365&gt;0,"Above","Equals"))</f>
        <v>Below</v>
      </c>
      <c r="Q365" s="4" t="s">
        <v>351</v>
      </c>
      <c r="R365" s="5"/>
      <c r="S365" s="15"/>
      <c r="U365" s="12">
        <v>4</v>
      </c>
      <c r="V365" s="4">
        <v>1812</v>
      </c>
      <c r="W365" s="14">
        <v>46020</v>
      </c>
      <c r="X365" s="4"/>
      <c r="Y365" s="13"/>
      <c r="Z365" s="13"/>
      <c r="AA365" s="4"/>
      <c r="AB365" s="4"/>
      <c r="AD365" s="9"/>
      <c r="AE365" s="5"/>
      <c r="AF365" s="11"/>
      <c r="AG365" s="11"/>
      <c r="AI365" s="9"/>
      <c r="AJ365" s="11"/>
      <c r="AK365" s="4"/>
    </row>
    <row r="366" spans="1:38" ht="43.5">
      <c r="A366" s="4" t="s">
        <v>50</v>
      </c>
      <c r="B366" s="4">
        <v>24</v>
      </c>
      <c r="C366" s="4">
        <v>10</v>
      </c>
      <c r="D366" s="6" t="s">
        <v>860</v>
      </c>
      <c r="E366" s="4" t="s">
        <v>3</v>
      </c>
      <c r="F366" s="4" t="str" cm="1">
        <f t="array" ref="F366">_xlfn.IFS(
  E366="Mahuva", "Mahuva",
  E366="Jesar", "Mahuva",
  E366="Palitana", "Palitana",
  E366="Gariyadhar", "Palitana",
  E366="Talaja", "Talaja",
  E366="Vallabhipur", "Vallabhipur",
  E366="Umrala", "Vallabhipur",
  E366="Shihor", "Shihor",
  E366="Ghogha", "Bhavnagar",
  E366="Bhavnagar", "Bhavnagar"
)</f>
        <v>Talaja</v>
      </c>
      <c r="G366" s="4" t="s">
        <v>206</v>
      </c>
      <c r="H366" s="4">
        <v>253583</v>
      </c>
      <c r="I366" s="4">
        <v>1</v>
      </c>
      <c r="J366" s="5">
        <v>46004</v>
      </c>
      <c r="K366" s="5">
        <v>46013</v>
      </c>
      <c r="L366" s="5">
        <v>46014</v>
      </c>
      <c r="M366" s="7">
        <v>2067497.06</v>
      </c>
      <c r="N366" s="7">
        <v>1798515.69</v>
      </c>
      <c r="O366" s="8">
        <v>-13.01</v>
      </c>
      <c r="P366" s="8" t="str">
        <f>IF(O366&lt;0,"Below",IF(O366&gt;0,"Above","Equals"))</f>
        <v>Below</v>
      </c>
      <c r="Q366" s="4" t="s">
        <v>842</v>
      </c>
      <c r="R366" s="5"/>
      <c r="S366" s="15"/>
      <c r="U366" s="12">
        <v>4</v>
      </c>
      <c r="V366" s="4">
        <v>1814</v>
      </c>
      <c r="W366" s="14">
        <v>46020</v>
      </c>
      <c r="X366" s="4" t="s">
        <v>50</v>
      </c>
      <c r="Y366" s="13">
        <v>326</v>
      </c>
      <c r="Z366" s="26">
        <v>46088</v>
      </c>
      <c r="AA366" s="4" t="s">
        <v>299</v>
      </c>
      <c r="AB366" s="4" t="s">
        <v>312</v>
      </c>
      <c r="AC366" s="33" t="s">
        <v>1047</v>
      </c>
      <c r="AD366" s="9">
        <v>90000</v>
      </c>
      <c r="AE366" s="5">
        <v>46083</v>
      </c>
      <c r="AF366" s="4" t="s">
        <v>299</v>
      </c>
      <c r="AG366" s="4" t="s">
        <v>312</v>
      </c>
      <c r="AH366" s="33" t="s">
        <v>1048</v>
      </c>
      <c r="AI366" s="9">
        <v>13000</v>
      </c>
      <c r="AJ366" s="5">
        <v>46083</v>
      </c>
      <c r="AK366" s="4">
        <v>330</v>
      </c>
      <c r="AL366" s="14">
        <v>46088</v>
      </c>
    </row>
    <row r="367" spans="1:38" ht="43.5">
      <c r="A367" s="4" t="s">
        <v>50</v>
      </c>
      <c r="B367" s="4">
        <v>24</v>
      </c>
      <c r="C367" s="4">
        <v>11</v>
      </c>
      <c r="D367" s="6" t="s">
        <v>861</v>
      </c>
      <c r="E367" s="4" t="s">
        <v>3</v>
      </c>
      <c r="F367" s="4" t="str" cm="1">
        <f t="array" ref="F367">_xlfn.IFS(
  E367="Mahuva", "Mahuva",
  E367="Jesar", "Mahuva",
  E367="Palitana", "Palitana",
  E367="Gariyadhar", "Palitana",
  E367="Talaja", "Talaja",
  E367="Vallabhipur", "Vallabhipur",
  E367="Umrala", "Vallabhipur",
  E367="Shihor", "Shihor",
  E367="Ghogha", "Bhavnagar",
  E367="Bhavnagar", "Bhavnagar"
)</f>
        <v>Talaja</v>
      </c>
      <c r="G367" s="4" t="s">
        <v>206</v>
      </c>
      <c r="H367" s="4">
        <v>253584</v>
      </c>
      <c r="I367" s="4">
        <v>1</v>
      </c>
      <c r="J367" s="5">
        <v>46004</v>
      </c>
      <c r="K367" s="5">
        <v>46013</v>
      </c>
      <c r="L367" s="5">
        <v>46014</v>
      </c>
      <c r="M367" s="7">
        <v>2067497.06</v>
      </c>
      <c r="N367" s="7">
        <v>1812574.67</v>
      </c>
      <c r="O367" s="8">
        <v>-12.33</v>
      </c>
      <c r="P367" s="8" t="str">
        <f>IF(O367&lt;0,"Below",IF(O367&gt;0,"Above","Equals"))</f>
        <v>Below</v>
      </c>
      <c r="Q367" s="4" t="s">
        <v>352</v>
      </c>
      <c r="R367" s="5"/>
      <c r="S367" s="15"/>
      <c r="U367" s="12">
        <v>4</v>
      </c>
      <c r="V367" s="4">
        <v>1815</v>
      </c>
      <c r="W367" s="14">
        <v>46020</v>
      </c>
      <c r="X367" s="4" t="s">
        <v>1126</v>
      </c>
      <c r="Y367" s="13">
        <v>11</v>
      </c>
      <c r="Z367" s="26">
        <v>46113</v>
      </c>
      <c r="AA367" s="4" t="s">
        <v>299</v>
      </c>
      <c r="AB367" s="4" t="s">
        <v>312</v>
      </c>
      <c r="AC367" s="33" t="s">
        <v>1136</v>
      </c>
      <c r="AD367" s="9">
        <v>91000</v>
      </c>
      <c r="AE367" s="5">
        <v>46094</v>
      </c>
      <c r="AF367" s="4" t="s">
        <v>299</v>
      </c>
      <c r="AG367" s="4" t="s">
        <v>312</v>
      </c>
      <c r="AH367" s="33" t="s">
        <v>1135</v>
      </c>
      <c r="AI367" s="9">
        <v>10000</v>
      </c>
      <c r="AJ367" s="5">
        <v>46098</v>
      </c>
      <c r="AK367" s="4">
        <v>465</v>
      </c>
      <c r="AL367" s="14">
        <v>46113</v>
      </c>
    </row>
    <row r="368" spans="1:38" ht="43.5">
      <c r="A368" s="4" t="s">
        <v>50</v>
      </c>
      <c r="B368" s="4">
        <v>24</v>
      </c>
      <c r="C368" s="4">
        <v>12</v>
      </c>
      <c r="D368" s="6" t="s">
        <v>862</v>
      </c>
      <c r="E368" s="4" t="s">
        <v>3</v>
      </c>
      <c r="F368" s="4" t="str" cm="1">
        <f t="array" ref="F368">_xlfn.IFS(
  E368="Mahuva", "Mahuva",
  E368="Jesar", "Mahuva",
  E368="Palitana", "Palitana",
  E368="Gariyadhar", "Palitana",
  E368="Talaja", "Talaja",
  E368="Vallabhipur", "Vallabhipur",
  E368="Umrala", "Vallabhipur",
  E368="Shihor", "Shihor",
  E368="Ghogha", "Bhavnagar",
  E368="Bhavnagar", "Bhavnagar"
)</f>
        <v>Talaja</v>
      </c>
      <c r="G368" s="4" t="s">
        <v>206</v>
      </c>
      <c r="H368" s="4">
        <v>253585</v>
      </c>
      <c r="I368" s="4">
        <v>1</v>
      </c>
      <c r="J368" s="5">
        <v>46004</v>
      </c>
      <c r="K368" s="5">
        <v>46013</v>
      </c>
      <c r="L368" s="5">
        <v>46014</v>
      </c>
      <c r="M368" s="7">
        <v>2067497.06</v>
      </c>
      <c r="N368" s="7">
        <v>1936624.5</v>
      </c>
      <c r="O368" s="8">
        <v>-6.33</v>
      </c>
      <c r="P368" s="8" t="str">
        <f>IF(O368&lt;0,"Below",IF(O368&gt;0,"Above","Equals"))</f>
        <v>Below</v>
      </c>
      <c r="Q368" s="4" t="s">
        <v>231</v>
      </c>
      <c r="R368" s="5"/>
      <c r="S368" s="15"/>
      <c r="U368" s="12">
        <v>4</v>
      </c>
      <c r="V368" s="4">
        <v>1816</v>
      </c>
      <c r="W368" s="14">
        <v>46020</v>
      </c>
      <c r="X368" s="4" t="s">
        <v>50</v>
      </c>
      <c r="Y368" s="13">
        <v>340</v>
      </c>
      <c r="Z368" s="26">
        <v>46101</v>
      </c>
      <c r="AA368" s="4" t="s">
        <v>299</v>
      </c>
      <c r="AB368" s="4" t="s">
        <v>312</v>
      </c>
      <c r="AC368" s="33" t="s">
        <v>1089</v>
      </c>
      <c r="AD368" s="9">
        <v>97000</v>
      </c>
      <c r="AE368" s="5">
        <v>46072</v>
      </c>
      <c r="AF368" s="11"/>
      <c r="AG368" s="11"/>
      <c r="AI368" s="9"/>
      <c r="AJ368" s="11"/>
      <c r="AK368" s="4">
        <v>378</v>
      </c>
      <c r="AL368" s="14">
        <v>46101</v>
      </c>
    </row>
    <row r="369" spans="1:38" ht="58">
      <c r="A369" s="4" t="s">
        <v>50</v>
      </c>
      <c r="B369" s="4">
        <v>24</v>
      </c>
      <c r="C369" s="4">
        <v>13</v>
      </c>
      <c r="D369" s="6" t="s">
        <v>863</v>
      </c>
      <c r="E369" s="4" t="s">
        <v>3</v>
      </c>
      <c r="F369" s="4" t="str" cm="1">
        <f t="array" ref="F369">_xlfn.IFS(
  E369="Mahuva", "Mahuva",
  E369="Jesar", "Mahuva",
  E369="Palitana", "Palitana",
  E369="Gariyadhar", "Palitana",
  E369="Talaja", "Talaja",
  E369="Vallabhipur", "Vallabhipur",
  E369="Umrala", "Vallabhipur",
  E369="Shihor", "Shihor",
  E369="Ghogha", "Bhavnagar",
  E369="Bhavnagar", "Bhavnagar"
)</f>
        <v>Talaja</v>
      </c>
      <c r="G369" s="4" t="s">
        <v>206</v>
      </c>
      <c r="H369" s="4">
        <v>253623</v>
      </c>
      <c r="I369" s="4">
        <v>1</v>
      </c>
      <c r="J369" s="5">
        <v>46004</v>
      </c>
      <c r="K369" s="5">
        <v>46013</v>
      </c>
      <c r="L369" s="5">
        <v>46014</v>
      </c>
      <c r="M369" s="7">
        <v>2880130.57</v>
      </c>
      <c r="N369" s="7">
        <v>2654328.33</v>
      </c>
      <c r="O369" s="8">
        <v>-7.84</v>
      </c>
      <c r="P369" s="8" t="str">
        <f>IF(O369&lt;0,"Below",IF(O369&gt;0,"Above","Equals"))</f>
        <v>Below</v>
      </c>
      <c r="Q369" s="4" t="s">
        <v>844</v>
      </c>
      <c r="R369" s="5"/>
      <c r="S369" s="15"/>
      <c r="U369" s="12">
        <v>4</v>
      </c>
      <c r="V369" s="4">
        <v>1817</v>
      </c>
      <c r="W369" s="14">
        <v>46020</v>
      </c>
      <c r="X369" s="4" t="s">
        <v>50</v>
      </c>
      <c r="Y369" s="13">
        <v>268</v>
      </c>
      <c r="Z369" s="26">
        <v>46042</v>
      </c>
      <c r="AA369" s="4" t="s">
        <v>299</v>
      </c>
      <c r="AB369" s="4" t="s">
        <v>312</v>
      </c>
      <c r="AC369" s="33">
        <v>44803434235</v>
      </c>
      <c r="AD369" s="9">
        <v>133000</v>
      </c>
      <c r="AE369" s="5">
        <v>46027</v>
      </c>
      <c r="AF369" s="11"/>
      <c r="AG369" s="11"/>
      <c r="AI369" s="9"/>
      <c r="AJ369" s="11"/>
      <c r="AK369" s="4">
        <v>62</v>
      </c>
      <c r="AL369" s="14">
        <v>46042</v>
      </c>
    </row>
    <row r="370" spans="1:38" ht="43.5">
      <c r="A370" s="4" t="s">
        <v>50</v>
      </c>
      <c r="B370" s="4">
        <v>24</v>
      </c>
      <c r="C370" s="4">
        <v>14</v>
      </c>
      <c r="D370" s="6" t="s">
        <v>930</v>
      </c>
      <c r="E370" s="4"/>
      <c r="F370" s="4" t="e" cm="1">
        <f t="array" ref="F370">_xlfn.IFS(
  E370="Mahuva", "Mahuva",
  E370="Jesar", "Mahuva",
  E370="Palitana", "Palitana",
  E370="Gariyadhar", "Palitana",
  E370="Talaja", "Talaja",
  E370="Vallabhipur", "Vallabhipur",
  E370="Umrala", "Vallabhipur",
  E370="Shihor", "Shihor",
  E370="Ghogha", "Bhavnagar",
  E370="Bhavnagar", "Bhavnagar"
)</f>
        <v>#N/A</v>
      </c>
      <c r="G370" s="4" t="s">
        <v>206</v>
      </c>
      <c r="H370" s="4">
        <v>253586</v>
      </c>
      <c r="I370" s="4">
        <v>1</v>
      </c>
      <c r="J370" s="5">
        <v>46004</v>
      </c>
      <c r="K370" s="5">
        <v>46013</v>
      </c>
      <c r="L370" s="5">
        <v>46014</v>
      </c>
      <c r="O370" s="8"/>
      <c r="P370" s="8" t="str">
        <f>IF(O370&lt;0,"Below",IF(O370&gt;0,"Above","Equals"))</f>
        <v>Equals</v>
      </c>
      <c r="R370" s="5"/>
      <c r="S370" s="15"/>
      <c r="U370" s="12">
        <v>4</v>
      </c>
      <c r="V370" s="4"/>
      <c r="X370" s="4"/>
      <c r="Y370" s="13"/>
      <c r="Z370" s="13"/>
      <c r="AA370" s="4"/>
      <c r="AB370" s="4"/>
      <c r="AD370" s="9"/>
      <c r="AE370" s="5"/>
      <c r="AF370" s="11"/>
      <c r="AG370" s="11"/>
      <c r="AI370" s="9"/>
      <c r="AJ370" s="11"/>
      <c r="AK370" s="4"/>
    </row>
    <row r="371" spans="1:38" ht="58">
      <c r="A371" s="4" t="s">
        <v>50</v>
      </c>
      <c r="B371" s="4">
        <v>24</v>
      </c>
      <c r="C371" s="4">
        <v>15</v>
      </c>
      <c r="D371" s="6" t="s">
        <v>864</v>
      </c>
      <c r="E371" s="4" t="s">
        <v>3</v>
      </c>
      <c r="F371" s="4" t="str" cm="1">
        <f t="array" ref="F371">_xlfn.IFS(
  E371="Mahuva", "Mahuva",
  E371="Jesar", "Mahuva",
  E371="Palitana", "Palitana",
  E371="Gariyadhar", "Palitana",
  E371="Talaja", "Talaja",
  E371="Vallabhipur", "Vallabhipur",
  E371="Umrala", "Vallabhipur",
  E371="Shihor", "Shihor",
  E371="Ghogha", "Bhavnagar",
  E371="Bhavnagar", "Bhavnagar"
)</f>
        <v>Talaja</v>
      </c>
      <c r="G371" s="4" t="s">
        <v>206</v>
      </c>
      <c r="H371" s="4">
        <v>253625</v>
      </c>
      <c r="I371" s="4">
        <v>1</v>
      </c>
      <c r="J371" s="5">
        <v>46004</v>
      </c>
      <c r="K371" s="5">
        <v>46013</v>
      </c>
      <c r="L371" s="5">
        <v>46014</v>
      </c>
      <c r="M371" s="7">
        <v>3343468.16</v>
      </c>
      <c r="N371" s="7">
        <v>3009455.69</v>
      </c>
      <c r="O371" s="8">
        <v>-9.99</v>
      </c>
      <c r="P371" s="8" t="str">
        <f>IF(O371&lt;0,"Below",IF(O371&gt;0,"Above","Equals"))</f>
        <v>Below</v>
      </c>
      <c r="Q371" s="4" t="s">
        <v>842</v>
      </c>
      <c r="R371" s="5"/>
      <c r="S371" s="15"/>
      <c r="U371" s="12">
        <v>4</v>
      </c>
      <c r="V371" s="4">
        <v>1819</v>
      </c>
      <c r="W371" s="14">
        <v>46020</v>
      </c>
      <c r="X371" s="4"/>
      <c r="Y371" s="13"/>
      <c r="Z371" s="13"/>
      <c r="AA371" s="4"/>
      <c r="AB371" s="4"/>
      <c r="AD371" s="9"/>
      <c r="AE371" s="5"/>
      <c r="AF371" s="11"/>
      <c r="AG371" s="11"/>
      <c r="AI371" s="9"/>
      <c r="AJ371" s="11"/>
      <c r="AK371" s="4"/>
    </row>
    <row r="372" spans="1:38" ht="43.5">
      <c r="A372" s="4" t="s">
        <v>50</v>
      </c>
      <c r="B372" s="4">
        <v>24</v>
      </c>
      <c r="C372" s="4">
        <v>16</v>
      </c>
      <c r="D372" s="6" t="s">
        <v>865</v>
      </c>
      <c r="E372" s="4" t="s">
        <v>3</v>
      </c>
      <c r="F372" s="4" t="str" cm="1">
        <f t="array" ref="F372">_xlfn.IFS(
  E372="Mahuva", "Mahuva",
  E372="Jesar", "Mahuva",
  E372="Palitana", "Palitana",
  E372="Gariyadhar", "Palitana",
  E372="Talaja", "Talaja",
  E372="Vallabhipur", "Vallabhipur",
  E372="Umrala", "Vallabhipur",
  E372="Shihor", "Shihor",
  E372="Ghogha", "Bhavnagar",
  E372="Bhavnagar", "Bhavnagar"
)</f>
        <v>Talaja</v>
      </c>
      <c r="G372" s="4" t="s">
        <v>206</v>
      </c>
      <c r="H372" s="4">
        <v>253587</v>
      </c>
      <c r="I372" s="4">
        <v>1</v>
      </c>
      <c r="J372" s="5">
        <v>46004</v>
      </c>
      <c r="K372" s="5">
        <v>46013</v>
      </c>
      <c r="L372" s="5">
        <v>46014</v>
      </c>
      <c r="M372" s="7">
        <v>2067497.06</v>
      </c>
      <c r="N372" s="7">
        <v>1791899.7</v>
      </c>
      <c r="O372" s="8">
        <v>-13.33</v>
      </c>
      <c r="P372" s="8" t="str">
        <f>IF(O372&lt;0,"Below",IF(O372&gt;0,"Above","Equals"))</f>
        <v>Below</v>
      </c>
      <c r="Q372" s="4" t="s">
        <v>842</v>
      </c>
      <c r="R372" s="5"/>
      <c r="S372" s="15"/>
      <c r="U372" s="12">
        <v>4</v>
      </c>
      <c r="V372" s="4">
        <v>1820</v>
      </c>
      <c r="W372" s="14">
        <v>46020</v>
      </c>
      <c r="X372" s="4"/>
      <c r="Y372" s="13"/>
      <c r="Z372" s="13"/>
      <c r="AA372" s="4"/>
      <c r="AB372" s="4"/>
      <c r="AD372" s="9"/>
      <c r="AE372" s="5"/>
      <c r="AF372" s="11"/>
      <c r="AG372" s="11"/>
      <c r="AI372" s="9"/>
      <c r="AJ372" s="11"/>
      <c r="AK372" s="4"/>
    </row>
    <row r="373" spans="1:38" ht="43.5">
      <c r="A373" s="4" t="s">
        <v>50</v>
      </c>
      <c r="B373" s="4">
        <v>24</v>
      </c>
      <c r="C373" s="4">
        <v>17</v>
      </c>
      <c r="D373" s="6" t="s">
        <v>866</v>
      </c>
      <c r="E373" s="4" t="s">
        <v>3</v>
      </c>
      <c r="F373" s="4" t="str" cm="1">
        <f t="array" ref="F373">_xlfn.IFS(
  E373="Mahuva", "Mahuva",
  E373="Jesar", "Mahuva",
  E373="Palitana", "Palitana",
  E373="Gariyadhar", "Palitana",
  E373="Talaja", "Talaja",
  E373="Vallabhipur", "Vallabhipur",
  E373="Umrala", "Vallabhipur",
  E373="Shihor", "Shihor",
  E373="Ghogha", "Bhavnagar",
  E373="Bhavnagar", "Bhavnagar"
)</f>
        <v>Talaja</v>
      </c>
      <c r="G373" s="4" t="s">
        <v>206</v>
      </c>
      <c r="H373" s="4">
        <v>253588</v>
      </c>
      <c r="I373" s="4">
        <v>1</v>
      </c>
      <c r="J373" s="5">
        <v>46004</v>
      </c>
      <c r="K373" s="5">
        <v>46013</v>
      </c>
      <c r="L373" s="5">
        <v>46014</v>
      </c>
      <c r="M373" s="7">
        <v>2067497.06</v>
      </c>
      <c r="N373" s="7">
        <v>1798722.44</v>
      </c>
      <c r="O373" s="8">
        <v>-13</v>
      </c>
      <c r="P373" s="8" t="str">
        <f>IF(O373&lt;0,"Below",IF(O373&gt;0,"Above","Equals"))</f>
        <v>Below</v>
      </c>
      <c r="Q373" s="4" t="s">
        <v>842</v>
      </c>
      <c r="R373" s="5"/>
      <c r="S373" s="15"/>
      <c r="U373" s="12">
        <v>4</v>
      </c>
      <c r="V373" s="4">
        <v>1821</v>
      </c>
      <c r="W373" s="14">
        <v>46020</v>
      </c>
      <c r="X373" s="4"/>
      <c r="Y373" s="13"/>
      <c r="Z373" s="13"/>
      <c r="AA373" s="4"/>
      <c r="AB373" s="4"/>
      <c r="AD373" s="9"/>
      <c r="AE373" s="5"/>
      <c r="AF373" s="11"/>
      <c r="AG373" s="11"/>
      <c r="AI373" s="9"/>
      <c r="AJ373" s="11"/>
      <c r="AK373" s="4"/>
    </row>
    <row r="374" spans="1:38" ht="43.5">
      <c r="A374" s="4" t="s">
        <v>50</v>
      </c>
      <c r="B374" s="4">
        <v>24</v>
      </c>
      <c r="C374" s="4">
        <v>18</v>
      </c>
      <c r="D374" s="6" t="s">
        <v>867</v>
      </c>
      <c r="E374" s="4" t="s">
        <v>3</v>
      </c>
      <c r="F374" s="4" t="str" cm="1">
        <f t="array" ref="F374">_xlfn.IFS(
  E374="Mahuva", "Mahuva",
  E374="Jesar", "Mahuva",
  E374="Palitana", "Palitana",
  E374="Gariyadhar", "Palitana",
  E374="Talaja", "Talaja",
  E374="Vallabhipur", "Vallabhipur",
  E374="Umrala", "Vallabhipur",
  E374="Shihor", "Shihor",
  E374="Ghogha", "Bhavnagar",
  E374="Bhavnagar", "Bhavnagar"
)</f>
        <v>Talaja</v>
      </c>
      <c r="G374" s="4" t="s">
        <v>206</v>
      </c>
      <c r="H374" s="4">
        <v>253589</v>
      </c>
      <c r="I374" s="4">
        <v>1</v>
      </c>
      <c r="J374" s="5">
        <v>46004</v>
      </c>
      <c r="K374" s="5">
        <v>46013</v>
      </c>
      <c r="L374" s="5">
        <v>46014</v>
      </c>
      <c r="M374" s="7">
        <v>2067497.06</v>
      </c>
      <c r="N374" s="7">
        <v>1891553.06</v>
      </c>
      <c r="O374" s="8">
        <v>-8.51</v>
      </c>
      <c r="P374" s="8" t="str">
        <f>IF(O374&lt;0,"Below",IF(O374&gt;0,"Above","Equals"))</f>
        <v>Below</v>
      </c>
      <c r="Q374" s="4" t="s">
        <v>845</v>
      </c>
      <c r="R374" s="5"/>
      <c r="S374" s="15"/>
      <c r="U374" s="12">
        <v>4</v>
      </c>
      <c r="V374" s="4">
        <v>1822</v>
      </c>
      <c r="W374" s="14">
        <v>46020</v>
      </c>
      <c r="X374" s="4" t="s">
        <v>50</v>
      </c>
      <c r="Y374" s="13">
        <v>289</v>
      </c>
      <c r="Z374" s="26">
        <v>46052</v>
      </c>
      <c r="AA374" s="4" t="s">
        <v>299</v>
      </c>
      <c r="AB374" s="4" t="s">
        <v>312</v>
      </c>
      <c r="AC374" s="33">
        <v>44824295149</v>
      </c>
      <c r="AD374" s="9">
        <v>95000</v>
      </c>
      <c r="AE374" s="5">
        <v>46034</v>
      </c>
      <c r="AF374" s="11"/>
      <c r="AG374" s="11"/>
      <c r="AI374" s="9"/>
      <c r="AJ374" s="11"/>
      <c r="AK374" s="4">
        <v>100</v>
      </c>
      <c r="AL374" s="14">
        <v>46052</v>
      </c>
    </row>
    <row r="375" spans="1:38" ht="43.5">
      <c r="A375" s="4" t="s">
        <v>50</v>
      </c>
      <c r="B375" s="4">
        <v>24</v>
      </c>
      <c r="C375" s="4">
        <v>19</v>
      </c>
      <c r="D375" s="6" t="s">
        <v>868</v>
      </c>
      <c r="E375" s="4" t="s">
        <v>3</v>
      </c>
      <c r="F375" s="4" t="str" cm="1">
        <f t="array" ref="F375">_xlfn.IFS(
  E375="Mahuva", "Mahuva",
  E375="Jesar", "Mahuva",
  E375="Palitana", "Palitana",
  E375="Gariyadhar", "Palitana",
  E375="Talaja", "Talaja",
  E375="Vallabhipur", "Vallabhipur",
  E375="Umrala", "Vallabhipur",
  E375="Shihor", "Shihor",
  E375="Ghogha", "Bhavnagar",
  E375="Bhavnagar", "Bhavnagar"
)</f>
        <v>Talaja</v>
      </c>
      <c r="G375" s="4" t="s">
        <v>206</v>
      </c>
      <c r="H375" s="4">
        <v>253590</v>
      </c>
      <c r="I375" s="4">
        <v>1</v>
      </c>
      <c r="J375" s="5">
        <v>46004</v>
      </c>
      <c r="K375" s="5">
        <v>46013</v>
      </c>
      <c r="L375" s="5">
        <v>46014</v>
      </c>
      <c r="M375" s="7">
        <v>2067497.06</v>
      </c>
      <c r="N375" s="7">
        <v>1756752.25</v>
      </c>
      <c r="O375" s="8">
        <v>-15.03</v>
      </c>
      <c r="P375" s="8" t="str">
        <f>IF(O375&lt;0,"Below",IF(O375&gt;0,"Above","Equals"))</f>
        <v>Below</v>
      </c>
      <c r="Q375" s="4" t="s">
        <v>846</v>
      </c>
      <c r="R375" s="5"/>
      <c r="S375" s="15"/>
      <c r="U375" s="12">
        <v>4</v>
      </c>
      <c r="V375" s="4">
        <v>1823</v>
      </c>
      <c r="W375" s="14">
        <v>46020</v>
      </c>
      <c r="X375" s="4"/>
      <c r="Y375" s="13"/>
      <c r="Z375" s="13"/>
      <c r="AA375" s="4"/>
      <c r="AB375" s="4"/>
      <c r="AD375" s="9"/>
      <c r="AE375" s="5"/>
      <c r="AF375" s="11"/>
      <c r="AG375" s="11"/>
      <c r="AI375" s="9"/>
      <c r="AJ375" s="11"/>
      <c r="AK375" s="4"/>
    </row>
    <row r="376" spans="1:38" ht="43.5">
      <c r="A376" s="4" t="s">
        <v>50</v>
      </c>
      <c r="B376" s="4">
        <v>24</v>
      </c>
      <c r="C376" s="4">
        <v>20</v>
      </c>
      <c r="D376" s="6" t="s">
        <v>869</v>
      </c>
      <c r="E376" s="4" t="s">
        <v>3</v>
      </c>
      <c r="F376" s="4" t="str" cm="1">
        <f t="array" ref="F376">_xlfn.IFS(
  E376="Mahuva", "Mahuva",
  E376="Jesar", "Mahuva",
  E376="Palitana", "Palitana",
  E376="Gariyadhar", "Palitana",
  E376="Talaja", "Talaja",
  E376="Vallabhipur", "Vallabhipur",
  E376="Umrala", "Vallabhipur",
  E376="Shihor", "Shihor",
  E376="Ghogha", "Bhavnagar",
  E376="Bhavnagar", "Bhavnagar"
)</f>
        <v>Talaja</v>
      </c>
      <c r="G376" s="4" t="s">
        <v>206</v>
      </c>
      <c r="H376" s="4">
        <v>253591</v>
      </c>
      <c r="I376" s="4">
        <v>1</v>
      </c>
      <c r="J376" s="5">
        <v>46004</v>
      </c>
      <c r="K376" s="5">
        <v>46013</v>
      </c>
      <c r="L376" s="5">
        <v>46014</v>
      </c>
      <c r="M376" s="7">
        <v>2067497.06</v>
      </c>
      <c r="N376" s="7">
        <v>1812574.67</v>
      </c>
      <c r="O376" s="8">
        <v>-12.33</v>
      </c>
      <c r="P376" s="8" t="str">
        <f>IF(O376&lt;0,"Below",IF(O376&gt;0,"Above","Equals"))</f>
        <v>Below</v>
      </c>
      <c r="Q376" s="4" t="s">
        <v>842</v>
      </c>
      <c r="R376" s="5"/>
      <c r="S376" s="15"/>
      <c r="U376" s="12">
        <v>4</v>
      </c>
      <c r="V376" s="4">
        <v>1824</v>
      </c>
      <c r="W376" s="14">
        <v>46020</v>
      </c>
      <c r="X376" s="4"/>
      <c r="Y376" s="13"/>
      <c r="Z376" s="13"/>
      <c r="AA376" s="4"/>
      <c r="AB376" s="4"/>
      <c r="AD376" s="9"/>
      <c r="AE376" s="5"/>
      <c r="AF376" s="11"/>
      <c r="AG376" s="11"/>
      <c r="AI376" s="9"/>
      <c r="AJ376" s="11"/>
      <c r="AK376" s="4"/>
    </row>
    <row r="377" spans="1:38" ht="43.5">
      <c r="A377" s="4" t="s">
        <v>50</v>
      </c>
      <c r="B377" s="4">
        <v>24</v>
      </c>
      <c r="C377" s="4">
        <v>21</v>
      </c>
      <c r="D377" s="6" t="s">
        <v>870</v>
      </c>
      <c r="E377" s="4" t="s">
        <v>3</v>
      </c>
      <c r="F377" s="4" t="str" cm="1">
        <f t="array" ref="F377">_xlfn.IFS(
  E377="Mahuva", "Mahuva",
  E377="Jesar", "Mahuva",
  E377="Palitana", "Palitana",
  E377="Gariyadhar", "Palitana",
  E377="Talaja", "Talaja",
  E377="Vallabhipur", "Vallabhipur",
  E377="Umrala", "Vallabhipur",
  E377="Shihor", "Shihor",
  E377="Ghogha", "Bhavnagar",
  E377="Bhavnagar", "Bhavnagar"
)</f>
        <v>Talaja</v>
      </c>
      <c r="G377" s="4" t="s">
        <v>206</v>
      </c>
      <c r="H377" s="4">
        <v>253592</v>
      </c>
      <c r="I377" s="4">
        <v>1</v>
      </c>
      <c r="J377" s="5">
        <v>46004</v>
      </c>
      <c r="K377" s="5">
        <v>46013</v>
      </c>
      <c r="L377" s="5">
        <v>46014</v>
      </c>
      <c r="M377" s="7">
        <v>2067497.06</v>
      </c>
      <c r="N377" s="7">
        <v>1767709.99</v>
      </c>
      <c r="O377" s="8">
        <v>-14.5</v>
      </c>
      <c r="P377" s="8" t="str">
        <f>IF(O377&lt;0,"Below",IF(O377&gt;0,"Above","Equals"))</f>
        <v>Below</v>
      </c>
      <c r="Q377" s="4" t="s">
        <v>331</v>
      </c>
      <c r="R377" s="5"/>
      <c r="S377" s="15"/>
      <c r="U377" s="12">
        <v>4</v>
      </c>
      <c r="V377" s="4">
        <v>1825</v>
      </c>
      <c r="W377" s="14">
        <v>46020</v>
      </c>
      <c r="X377" s="4" t="s">
        <v>50</v>
      </c>
      <c r="Y377" s="13">
        <v>265</v>
      </c>
      <c r="Z377" s="26">
        <v>46042</v>
      </c>
      <c r="AA377" s="4" t="s">
        <v>299</v>
      </c>
      <c r="AB377" s="4" t="s">
        <v>725</v>
      </c>
      <c r="AC377" s="33" t="s">
        <v>953</v>
      </c>
      <c r="AD377" s="9">
        <v>89000</v>
      </c>
      <c r="AE377" s="5">
        <v>46023</v>
      </c>
      <c r="AF377" s="4" t="s">
        <v>299</v>
      </c>
      <c r="AG377" s="4" t="s">
        <v>725</v>
      </c>
      <c r="AH377" s="33" t="s">
        <v>954</v>
      </c>
      <c r="AI377" s="9">
        <v>19000</v>
      </c>
      <c r="AJ377" s="5">
        <v>46023</v>
      </c>
      <c r="AK377" s="4">
        <v>59</v>
      </c>
      <c r="AL377" s="14">
        <v>46042</v>
      </c>
    </row>
    <row r="378" spans="1:38" ht="43.5">
      <c r="A378" s="4" t="s">
        <v>50</v>
      </c>
      <c r="B378" s="4">
        <v>24</v>
      </c>
      <c r="C378" s="4">
        <v>22</v>
      </c>
      <c r="D378" s="6" t="s">
        <v>871</v>
      </c>
      <c r="E378" s="4" t="s">
        <v>3</v>
      </c>
      <c r="F378" s="4" t="str" cm="1">
        <f t="array" ref="F378">_xlfn.IFS(
  E378="Mahuva", "Mahuva",
  E378="Jesar", "Mahuva",
  E378="Palitana", "Palitana",
  E378="Gariyadhar", "Palitana",
  E378="Talaja", "Talaja",
  E378="Vallabhipur", "Vallabhipur",
  E378="Umrala", "Vallabhipur",
  E378="Shihor", "Shihor",
  E378="Ghogha", "Bhavnagar",
  E378="Bhavnagar", "Bhavnagar"
)</f>
        <v>Talaja</v>
      </c>
      <c r="G378" s="4" t="s">
        <v>206</v>
      </c>
      <c r="H378" s="4">
        <v>253593</v>
      </c>
      <c r="I378" s="4">
        <v>1</v>
      </c>
      <c r="J378" s="5">
        <v>46004</v>
      </c>
      <c r="K378" s="5">
        <v>46013</v>
      </c>
      <c r="L378" s="5">
        <v>46014</v>
      </c>
      <c r="M378" s="7">
        <v>2067497.06</v>
      </c>
      <c r="N378" s="7">
        <v>1769777.48</v>
      </c>
      <c r="O378" s="8">
        <v>-14.4</v>
      </c>
      <c r="P378" s="8" t="str">
        <f>IF(O378&lt;0,"Below",IF(O378&gt;0,"Above","Equals"))</f>
        <v>Below</v>
      </c>
      <c r="Q378" s="4" t="s">
        <v>846</v>
      </c>
      <c r="R378" s="5"/>
      <c r="S378" s="15"/>
      <c r="U378" s="12">
        <v>4</v>
      </c>
      <c r="V378" s="4">
        <v>1826</v>
      </c>
      <c r="W378" s="14">
        <v>46020</v>
      </c>
      <c r="X378" s="4" t="s">
        <v>50</v>
      </c>
      <c r="Y378" s="13">
        <v>291</v>
      </c>
      <c r="Z378" s="26">
        <v>46052</v>
      </c>
      <c r="AA378" s="4" t="s">
        <v>299</v>
      </c>
      <c r="AB378" s="4" t="s">
        <v>944</v>
      </c>
      <c r="AC378" s="33" t="s">
        <v>971</v>
      </c>
      <c r="AD378" s="9">
        <v>89000</v>
      </c>
      <c r="AE378" s="5">
        <v>46031</v>
      </c>
      <c r="AF378" s="4" t="s">
        <v>299</v>
      </c>
      <c r="AG378" s="4" t="s">
        <v>944</v>
      </c>
      <c r="AH378" s="33" t="s">
        <v>972</v>
      </c>
      <c r="AI378" s="9">
        <v>19000</v>
      </c>
      <c r="AJ378" s="5">
        <v>46031</v>
      </c>
      <c r="AK378" s="4">
        <v>102</v>
      </c>
      <c r="AL378" s="14">
        <v>46052</v>
      </c>
    </row>
    <row r="379" spans="1:38" ht="43.5">
      <c r="A379" s="4" t="s">
        <v>50</v>
      </c>
      <c r="B379" s="4">
        <v>24</v>
      </c>
      <c r="C379" s="4">
        <v>23</v>
      </c>
      <c r="D379" s="6" t="s">
        <v>872</v>
      </c>
      <c r="E379" s="4" t="s">
        <v>3</v>
      </c>
      <c r="F379" s="4" t="str" cm="1">
        <f t="array" ref="F379">_xlfn.IFS(
  E379="Mahuva", "Mahuva",
  E379="Jesar", "Mahuva",
  E379="Palitana", "Palitana",
  E379="Gariyadhar", "Palitana",
  E379="Talaja", "Talaja",
  E379="Vallabhipur", "Vallabhipur",
  E379="Umrala", "Vallabhipur",
  E379="Shihor", "Shihor",
  E379="Ghogha", "Bhavnagar",
  E379="Bhavnagar", "Bhavnagar"
)</f>
        <v>Talaja</v>
      </c>
      <c r="G379" s="4" t="s">
        <v>206</v>
      </c>
      <c r="H379" s="4">
        <v>253594</v>
      </c>
      <c r="I379" s="4">
        <v>1</v>
      </c>
      <c r="J379" s="5">
        <v>46004</v>
      </c>
      <c r="K379" s="5">
        <v>46013</v>
      </c>
      <c r="L379" s="5">
        <v>46014</v>
      </c>
      <c r="M379" s="7">
        <v>2067497.06</v>
      </c>
      <c r="N379" s="7">
        <v>1796034.7</v>
      </c>
      <c r="O379" s="8">
        <v>-13.13</v>
      </c>
      <c r="P379" s="8" t="str">
        <f>IF(O379&lt;0,"Below",IF(O379&gt;0,"Above","Equals"))</f>
        <v>Below</v>
      </c>
      <c r="Q379" s="4" t="s">
        <v>847</v>
      </c>
      <c r="R379" s="5"/>
      <c r="S379" s="15"/>
      <c r="U379" s="12">
        <v>4</v>
      </c>
      <c r="V379" s="4">
        <v>1827</v>
      </c>
      <c r="W379" s="14">
        <v>46020</v>
      </c>
      <c r="X379" s="4" t="s">
        <v>50</v>
      </c>
      <c r="Y379" s="13">
        <v>284</v>
      </c>
      <c r="Z379" s="26">
        <v>46045</v>
      </c>
      <c r="AA379" s="4" t="s">
        <v>299</v>
      </c>
      <c r="AB379" s="4" t="s">
        <v>541</v>
      </c>
      <c r="AC379" s="33" t="s">
        <v>965</v>
      </c>
      <c r="AD379" s="9">
        <v>90000</v>
      </c>
      <c r="AE379" s="5">
        <v>46025</v>
      </c>
      <c r="AF379" s="4" t="s">
        <v>299</v>
      </c>
      <c r="AG379" s="4" t="s">
        <v>541</v>
      </c>
      <c r="AH379" s="33" t="s">
        <v>966</v>
      </c>
      <c r="AI379" s="9">
        <v>12000</v>
      </c>
      <c r="AJ379" s="5">
        <v>46038</v>
      </c>
      <c r="AK379" s="4">
        <v>82</v>
      </c>
      <c r="AL379" s="14">
        <v>46045</v>
      </c>
    </row>
    <row r="380" spans="1:38" ht="43.5">
      <c r="A380" s="4" t="s">
        <v>50</v>
      </c>
      <c r="B380" s="4">
        <v>24</v>
      </c>
      <c r="C380" s="4">
        <v>24</v>
      </c>
      <c r="D380" s="6" t="s">
        <v>873</v>
      </c>
      <c r="E380" s="4" t="s">
        <v>3</v>
      </c>
      <c r="F380" s="4" t="str" cm="1">
        <f t="array" ref="F380">_xlfn.IFS(
  E380="Mahuva", "Mahuva",
  E380="Jesar", "Mahuva",
  E380="Palitana", "Palitana",
  E380="Gariyadhar", "Palitana",
  E380="Talaja", "Talaja",
  E380="Vallabhipur", "Vallabhipur",
  E380="Umrala", "Vallabhipur",
  E380="Shihor", "Shihor",
  E380="Ghogha", "Bhavnagar",
  E380="Bhavnagar", "Bhavnagar"
)</f>
        <v>Talaja</v>
      </c>
      <c r="G380" s="4" t="s">
        <v>206</v>
      </c>
      <c r="H380" s="4">
        <v>253595</v>
      </c>
      <c r="I380" s="4">
        <v>1</v>
      </c>
      <c r="J380" s="5">
        <v>46004</v>
      </c>
      <c r="K380" s="5">
        <v>46013</v>
      </c>
      <c r="L380" s="5">
        <v>46014</v>
      </c>
      <c r="M380" s="7">
        <v>2067497.06</v>
      </c>
      <c r="N380" s="7">
        <v>1746001.27</v>
      </c>
      <c r="O380" s="8">
        <v>-15.55</v>
      </c>
      <c r="P380" s="8" t="str">
        <f>IF(O380&lt;0,"Below",IF(O380&gt;0,"Above","Equals"))</f>
        <v>Below</v>
      </c>
      <c r="Q380" s="4" t="s">
        <v>842</v>
      </c>
      <c r="R380" s="5"/>
      <c r="S380" s="15"/>
      <c r="U380" s="12">
        <v>4</v>
      </c>
      <c r="V380" s="4">
        <v>1828</v>
      </c>
      <c r="W380" s="14">
        <v>46020</v>
      </c>
      <c r="X380" s="4"/>
      <c r="Y380" s="13"/>
      <c r="Z380" s="13"/>
      <c r="AA380" s="4"/>
      <c r="AB380" s="4"/>
      <c r="AD380" s="9"/>
      <c r="AE380" s="5"/>
      <c r="AF380" s="11"/>
      <c r="AG380" s="11"/>
      <c r="AI380" s="9"/>
      <c r="AJ380" s="11"/>
      <c r="AK380" s="4"/>
    </row>
    <row r="381" spans="1:38" ht="43.5">
      <c r="A381" s="4" t="s">
        <v>50</v>
      </c>
      <c r="B381" s="4">
        <v>24</v>
      </c>
      <c r="C381" s="4">
        <v>25</v>
      </c>
      <c r="D381" s="6" t="s">
        <v>874</v>
      </c>
      <c r="E381" s="4" t="s">
        <v>3</v>
      </c>
      <c r="F381" s="4" t="str" cm="1">
        <f t="array" ref="F381">_xlfn.IFS(
  E381="Mahuva", "Mahuva",
  E381="Jesar", "Mahuva",
  E381="Palitana", "Palitana",
  E381="Gariyadhar", "Palitana",
  E381="Talaja", "Talaja",
  E381="Vallabhipur", "Vallabhipur",
  E381="Umrala", "Vallabhipur",
  E381="Shihor", "Shihor",
  E381="Ghogha", "Bhavnagar",
  E381="Bhavnagar", "Bhavnagar"
)</f>
        <v>Talaja</v>
      </c>
      <c r="G381" s="4" t="s">
        <v>206</v>
      </c>
      <c r="H381" s="4">
        <v>253596</v>
      </c>
      <c r="I381" s="4">
        <v>1</v>
      </c>
      <c r="J381" s="5">
        <v>46004</v>
      </c>
      <c r="K381" s="5">
        <v>46013</v>
      </c>
      <c r="L381" s="5">
        <v>46014</v>
      </c>
      <c r="M381" s="7">
        <v>2067497.06</v>
      </c>
      <c r="N381" s="7">
        <v>1798722.44</v>
      </c>
      <c r="O381" s="8">
        <v>-13</v>
      </c>
      <c r="P381" s="8" t="str">
        <f>IF(O381&lt;0,"Below",IF(O381&gt;0,"Above","Equals"))</f>
        <v>Below</v>
      </c>
      <c r="Q381" s="4" t="s">
        <v>842</v>
      </c>
      <c r="R381" s="5"/>
      <c r="S381" s="15"/>
      <c r="U381" s="12">
        <v>4</v>
      </c>
      <c r="V381" s="4">
        <v>1829</v>
      </c>
      <c r="W381" s="14">
        <v>46020</v>
      </c>
      <c r="X381" s="4" t="s">
        <v>50</v>
      </c>
      <c r="Y381" s="13">
        <v>327</v>
      </c>
      <c r="Z381" s="26">
        <v>46088</v>
      </c>
      <c r="AA381" s="4" t="s">
        <v>299</v>
      </c>
      <c r="AB381" s="4" t="s">
        <v>312</v>
      </c>
      <c r="AC381" s="33" t="s">
        <v>1049</v>
      </c>
      <c r="AD381" s="9">
        <v>90000</v>
      </c>
      <c r="AE381" s="5">
        <v>46080</v>
      </c>
      <c r="AF381" s="4" t="s">
        <v>299</v>
      </c>
      <c r="AG381" s="4" t="s">
        <v>312</v>
      </c>
      <c r="AH381" s="33" t="s">
        <v>1050</v>
      </c>
      <c r="AI381" s="9">
        <v>13000</v>
      </c>
      <c r="AJ381" s="5">
        <v>46080</v>
      </c>
      <c r="AK381" s="4">
        <v>331</v>
      </c>
      <c r="AL381" s="14">
        <v>46088</v>
      </c>
    </row>
    <row r="382" spans="1:38" ht="43.5">
      <c r="A382" s="4" t="s">
        <v>50</v>
      </c>
      <c r="B382" s="4">
        <v>24</v>
      </c>
      <c r="C382" s="4">
        <v>26</v>
      </c>
      <c r="D382" s="6" t="s">
        <v>875</v>
      </c>
      <c r="E382" s="4" t="s">
        <v>279</v>
      </c>
      <c r="F382" s="4" t="str" cm="1">
        <f t="array" ref="F382">_xlfn.IFS(
  E382="Mahuva", "Mahuva",
  E382="Jesar", "Mahuva",
  E382="Palitana", "Palitana",
  E382="Gariyadhar", "Palitana",
  E382="Talaja", "Talaja",
  E382="Vallabhipur", "Vallabhipur",
  E382="Umrala", "Vallabhipur",
  E382="Shihor", "Shihor",
  E382="Ghogha", "Bhavnagar",
  E382="Bhavnagar", "Bhavnagar"
)</f>
        <v>Bhavnagar</v>
      </c>
      <c r="G382" s="4" t="s">
        <v>206</v>
      </c>
      <c r="H382" s="4">
        <v>253558</v>
      </c>
      <c r="I382" s="4">
        <v>1</v>
      </c>
      <c r="J382" s="5">
        <v>46004</v>
      </c>
      <c r="K382" s="5">
        <v>46013</v>
      </c>
      <c r="L382" s="5">
        <v>46014</v>
      </c>
      <c r="M382" s="7">
        <v>2079935.15</v>
      </c>
      <c r="N382" s="7">
        <v>1844278.5</v>
      </c>
      <c r="O382" s="8">
        <v>-11.33</v>
      </c>
      <c r="P382" s="8" t="str">
        <f>IF(O382&lt;0,"Below",IF(O382&gt;0,"Above","Equals"))</f>
        <v>Below</v>
      </c>
      <c r="Q382" s="4" t="s">
        <v>127</v>
      </c>
      <c r="R382" s="5"/>
      <c r="S382" s="15"/>
      <c r="U382" s="12">
        <v>4</v>
      </c>
      <c r="V382" s="4">
        <v>1830</v>
      </c>
      <c r="W382" s="14">
        <v>46020</v>
      </c>
      <c r="X382" s="4"/>
      <c r="Y382" s="13"/>
      <c r="Z382" s="26"/>
      <c r="AA382" s="4" t="s">
        <v>299</v>
      </c>
      <c r="AB382" s="4" t="s">
        <v>647</v>
      </c>
      <c r="AC382" s="33" t="s">
        <v>1191</v>
      </c>
      <c r="AD382" s="9">
        <v>93000</v>
      </c>
      <c r="AE382" s="5">
        <v>46172</v>
      </c>
      <c r="AF382" s="11"/>
      <c r="AG382" s="11"/>
      <c r="AI382" s="9"/>
      <c r="AJ382" s="11"/>
      <c r="AK382" s="4"/>
    </row>
    <row r="383" spans="1:38" ht="43.5">
      <c r="A383" s="4" t="s">
        <v>50</v>
      </c>
      <c r="B383" s="4">
        <v>24</v>
      </c>
      <c r="C383" s="4">
        <v>27</v>
      </c>
      <c r="D383" s="6" t="s">
        <v>876</v>
      </c>
      <c r="E383" s="4" t="s">
        <v>279</v>
      </c>
      <c r="F383" s="4" t="str" cm="1">
        <f t="array" ref="F383">_xlfn.IFS(
  E383="Mahuva", "Mahuva",
  E383="Jesar", "Mahuva",
  E383="Palitana", "Palitana",
  E383="Gariyadhar", "Palitana",
  E383="Talaja", "Talaja",
  E383="Vallabhipur", "Vallabhipur",
  E383="Umrala", "Vallabhipur",
  E383="Shihor", "Shihor",
  E383="Ghogha", "Bhavnagar",
  E383="Bhavnagar", "Bhavnagar"
)</f>
        <v>Bhavnagar</v>
      </c>
      <c r="G383" s="4" t="s">
        <v>206</v>
      </c>
      <c r="H383" s="4">
        <v>253559</v>
      </c>
      <c r="I383" s="4">
        <v>1</v>
      </c>
      <c r="J383" s="5">
        <v>46004</v>
      </c>
      <c r="K383" s="5">
        <v>46013</v>
      </c>
      <c r="L383" s="5">
        <v>46014</v>
      </c>
      <c r="M383" s="7">
        <v>2079935.15</v>
      </c>
      <c r="N383" s="7">
        <v>1768776.85</v>
      </c>
      <c r="O383" s="8">
        <v>-14.96</v>
      </c>
      <c r="P383" s="8" t="str">
        <f>IF(O383&lt;0,"Below",IF(O383&gt;0,"Above","Equals"))</f>
        <v>Below</v>
      </c>
      <c r="Q383" s="4" t="s">
        <v>848</v>
      </c>
      <c r="R383" s="5"/>
      <c r="S383" s="15"/>
      <c r="U383" s="12">
        <v>4</v>
      </c>
      <c r="V383" s="4">
        <v>1831</v>
      </c>
      <c r="W383" s="14">
        <v>46020</v>
      </c>
      <c r="X383" s="4" t="s">
        <v>50</v>
      </c>
      <c r="Y383" s="13">
        <v>318</v>
      </c>
      <c r="Z383" s="26">
        <v>46071</v>
      </c>
      <c r="AA383" s="4" t="s">
        <v>299</v>
      </c>
      <c r="AB383" s="10" t="s">
        <v>306</v>
      </c>
      <c r="AC383" s="33" t="s">
        <v>1018</v>
      </c>
      <c r="AD383" s="9">
        <v>89000</v>
      </c>
      <c r="AE383" s="5">
        <v>46034</v>
      </c>
      <c r="AF383" s="4" t="s">
        <v>299</v>
      </c>
      <c r="AG383" s="10" t="s">
        <v>306</v>
      </c>
      <c r="AH383" s="33" t="s">
        <v>1019</v>
      </c>
      <c r="AI383" s="9">
        <v>21000</v>
      </c>
      <c r="AJ383" s="5">
        <v>46034</v>
      </c>
      <c r="AK383" s="4">
        <v>289</v>
      </c>
      <c r="AL383" s="26">
        <v>46071</v>
      </c>
    </row>
    <row r="384" spans="1:38" ht="58">
      <c r="A384" s="4" t="s">
        <v>50</v>
      </c>
      <c r="B384" s="4">
        <v>24</v>
      </c>
      <c r="C384" s="4">
        <v>28</v>
      </c>
      <c r="D384" s="6" t="s">
        <v>877</v>
      </c>
      <c r="E384" s="4" t="s">
        <v>279</v>
      </c>
      <c r="F384" s="4" t="str" cm="1">
        <f t="array" ref="F384">_xlfn.IFS(
  E384="Mahuva", "Mahuva",
  E384="Jesar", "Mahuva",
  E384="Palitana", "Palitana",
  E384="Gariyadhar", "Palitana",
  E384="Talaja", "Talaja",
  E384="Vallabhipur", "Vallabhipur",
  E384="Umrala", "Vallabhipur",
  E384="Shihor", "Shihor",
  E384="Ghogha", "Bhavnagar",
  E384="Bhavnagar", "Bhavnagar"
)</f>
        <v>Bhavnagar</v>
      </c>
      <c r="G384" s="4" t="s">
        <v>206</v>
      </c>
      <c r="H384" s="4">
        <v>253626</v>
      </c>
      <c r="I384" s="4">
        <v>1</v>
      </c>
      <c r="J384" s="5">
        <v>46004</v>
      </c>
      <c r="K384" s="5">
        <v>46013</v>
      </c>
      <c r="L384" s="5">
        <v>46014</v>
      </c>
      <c r="M384" s="7">
        <v>3343468.16</v>
      </c>
      <c r="N384" s="7">
        <v>3085686.76</v>
      </c>
      <c r="O384" s="8">
        <v>-7.71</v>
      </c>
      <c r="P384" s="8" t="str">
        <f>IF(O384&lt;0,"Below",IF(O384&gt;0,"Above","Equals"))</f>
        <v>Below</v>
      </c>
      <c r="Q384" s="4" t="s">
        <v>569</v>
      </c>
      <c r="R384" s="5"/>
      <c r="S384" s="15"/>
      <c r="U384" s="12">
        <v>6</v>
      </c>
      <c r="V384" s="4">
        <v>1832</v>
      </c>
      <c r="W384" s="14">
        <v>46020</v>
      </c>
      <c r="X384" s="4" t="s">
        <v>50</v>
      </c>
      <c r="Y384" s="13">
        <v>279</v>
      </c>
      <c r="Z384" s="26">
        <v>46042</v>
      </c>
      <c r="AA384" s="4" t="s">
        <v>299</v>
      </c>
      <c r="AB384" s="4" t="s">
        <v>312</v>
      </c>
      <c r="AC384" s="33">
        <v>44832664628</v>
      </c>
      <c r="AD384" s="9">
        <v>155000</v>
      </c>
      <c r="AE384" s="5">
        <v>46037</v>
      </c>
      <c r="AF384" s="11"/>
      <c r="AG384" s="11"/>
      <c r="AI384" s="9"/>
      <c r="AJ384" s="11"/>
      <c r="AK384" s="4">
        <v>73</v>
      </c>
      <c r="AL384" s="14">
        <v>46042</v>
      </c>
    </row>
    <row r="385" spans="1:38" ht="43.5">
      <c r="A385" s="4" t="s">
        <v>50</v>
      </c>
      <c r="B385" s="4">
        <v>24</v>
      </c>
      <c r="C385" s="4">
        <v>29</v>
      </c>
      <c r="D385" s="6" t="s">
        <v>878</v>
      </c>
      <c r="E385" s="4" t="s">
        <v>279</v>
      </c>
      <c r="F385" s="4" t="str" cm="1">
        <f t="array" ref="F385">_xlfn.IFS(
  E385="Mahuva", "Mahuva",
  E385="Jesar", "Mahuva",
  E385="Palitana", "Palitana",
  E385="Gariyadhar", "Palitana",
  E385="Talaja", "Talaja",
  E385="Vallabhipur", "Vallabhipur",
  E385="Umrala", "Vallabhipur",
  E385="Shihor", "Shihor",
  E385="Ghogha", "Bhavnagar",
  E385="Bhavnagar", "Bhavnagar"
)</f>
        <v>Bhavnagar</v>
      </c>
      <c r="G385" s="4" t="s">
        <v>206</v>
      </c>
      <c r="H385" s="4">
        <v>253615</v>
      </c>
      <c r="I385" s="4">
        <v>1</v>
      </c>
      <c r="J385" s="5">
        <v>46004</v>
      </c>
      <c r="K385" s="5">
        <v>46013</v>
      </c>
      <c r="L385" s="5">
        <v>46014</v>
      </c>
      <c r="M385" s="7">
        <v>2067497.06</v>
      </c>
      <c r="N385" s="7">
        <v>1961847.96</v>
      </c>
      <c r="O385" s="8">
        <v>-5.1100000000000003</v>
      </c>
      <c r="P385" s="8" t="str">
        <f>IF(O385&lt;0,"Below",IF(O385&gt;0,"Above","Equals"))</f>
        <v>Below</v>
      </c>
      <c r="Q385" s="4" t="s">
        <v>849</v>
      </c>
      <c r="R385" s="5"/>
      <c r="S385" s="15"/>
      <c r="U385" s="12">
        <v>4</v>
      </c>
      <c r="V385" s="4">
        <v>1833</v>
      </c>
      <c r="W385" s="14">
        <v>46020</v>
      </c>
      <c r="X385" s="4" t="s">
        <v>50</v>
      </c>
      <c r="Y385" s="13">
        <v>331</v>
      </c>
      <c r="Z385" s="26">
        <v>46088</v>
      </c>
      <c r="AA385" s="4" t="s">
        <v>299</v>
      </c>
      <c r="AB385" s="4" t="s">
        <v>1054</v>
      </c>
      <c r="AC385" s="33" t="s">
        <v>1055</v>
      </c>
      <c r="AD385" s="9">
        <v>99000</v>
      </c>
      <c r="AE385" s="5">
        <v>46063</v>
      </c>
      <c r="AF385" s="11"/>
      <c r="AG385" s="11"/>
      <c r="AI385" s="9"/>
      <c r="AJ385" s="11"/>
      <c r="AK385" s="4">
        <v>335</v>
      </c>
      <c r="AL385" s="14">
        <v>46088</v>
      </c>
    </row>
    <row r="386" spans="1:38" ht="43.5">
      <c r="A386" s="4" t="s">
        <v>50</v>
      </c>
      <c r="B386" s="4">
        <v>24</v>
      </c>
      <c r="C386" s="4">
        <v>30</v>
      </c>
      <c r="D386" s="6" t="s">
        <v>879</v>
      </c>
      <c r="E386" s="4" t="s">
        <v>279</v>
      </c>
      <c r="F386" s="4" t="str" cm="1">
        <f t="array" ref="F386">_xlfn.IFS(
  E386="Mahuva", "Mahuva",
  E386="Jesar", "Mahuva",
  E386="Palitana", "Palitana",
  E386="Gariyadhar", "Palitana",
  E386="Talaja", "Talaja",
  E386="Vallabhipur", "Vallabhipur",
  E386="Umrala", "Vallabhipur",
  E386="Shihor", "Shihor",
  E386="Ghogha", "Bhavnagar",
  E386="Bhavnagar", "Bhavnagar"
)</f>
        <v>Bhavnagar</v>
      </c>
      <c r="G386" s="4" t="s">
        <v>206</v>
      </c>
      <c r="H386" s="4">
        <v>253616</v>
      </c>
      <c r="I386" s="4">
        <v>1</v>
      </c>
      <c r="J386" s="5">
        <v>46004</v>
      </c>
      <c r="K386" s="5">
        <v>46013</v>
      </c>
      <c r="L386" s="5">
        <v>46014</v>
      </c>
      <c r="M386" s="7">
        <v>2067497.06</v>
      </c>
      <c r="N386" s="7">
        <v>1877700.83</v>
      </c>
      <c r="O386" s="8">
        <v>-9.18</v>
      </c>
      <c r="P386" s="8" t="str">
        <f>IF(O386&lt;0,"Below",IF(O386&gt;0,"Above","Equals"))</f>
        <v>Below</v>
      </c>
      <c r="Q386" s="4" t="s">
        <v>127</v>
      </c>
      <c r="R386" s="5"/>
      <c r="S386" s="15"/>
      <c r="U386" s="12">
        <v>4</v>
      </c>
      <c r="V386" s="4">
        <v>1834</v>
      </c>
      <c r="W386" s="14">
        <v>46020</v>
      </c>
      <c r="X386" s="4" t="s">
        <v>1126</v>
      </c>
      <c r="Y386" s="13">
        <v>29</v>
      </c>
      <c r="Z386" s="26">
        <v>46188</v>
      </c>
      <c r="AA386" s="4" t="s">
        <v>299</v>
      </c>
      <c r="AB386" s="4" t="s">
        <v>647</v>
      </c>
      <c r="AC386" s="33" t="s">
        <v>1215</v>
      </c>
      <c r="AD386" s="9">
        <v>94000</v>
      </c>
      <c r="AE386" s="5">
        <v>46172</v>
      </c>
      <c r="AF386" s="11"/>
      <c r="AG386" s="11"/>
      <c r="AI386" s="9"/>
      <c r="AJ386" s="11"/>
      <c r="AK386" s="4">
        <v>675</v>
      </c>
      <c r="AL386" s="14">
        <v>46188</v>
      </c>
    </row>
    <row r="387" spans="1:38" ht="43.5">
      <c r="A387" s="4" t="s">
        <v>50</v>
      </c>
      <c r="B387" s="4">
        <v>24</v>
      </c>
      <c r="C387" s="4">
        <v>31</v>
      </c>
      <c r="D387" s="6" t="s">
        <v>880</v>
      </c>
      <c r="E387" s="4" t="s">
        <v>279</v>
      </c>
      <c r="F387" s="4" t="str" cm="1">
        <f t="array" ref="F387">_xlfn.IFS(
  E387="Mahuva", "Mahuva",
  E387="Jesar", "Mahuva",
  E387="Palitana", "Palitana",
  E387="Gariyadhar", "Palitana",
  E387="Talaja", "Talaja",
  E387="Vallabhipur", "Vallabhipur",
  E387="Umrala", "Vallabhipur",
  E387="Shihor", "Shihor",
  E387="Ghogha", "Bhavnagar",
  E387="Bhavnagar", "Bhavnagar"
)</f>
        <v>Bhavnagar</v>
      </c>
      <c r="G387" s="4" t="s">
        <v>206</v>
      </c>
      <c r="H387" s="4">
        <v>253617</v>
      </c>
      <c r="I387" s="4">
        <v>1</v>
      </c>
      <c r="J387" s="5">
        <v>46004</v>
      </c>
      <c r="K387" s="5">
        <v>46013</v>
      </c>
      <c r="L387" s="5">
        <v>46014</v>
      </c>
      <c r="M387" s="7">
        <v>2067497.06</v>
      </c>
      <c r="N387" s="7">
        <v>1947375.48</v>
      </c>
      <c r="O387" s="8">
        <v>-5.81</v>
      </c>
      <c r="P387" s="8" t="str">
        <f>IF(O387&lt;0,"Below",IF(O387&gt;0,"Above","Equals"))</f>
        <v>Below</v>
      </c>
      <c r="Q387" s="4" t="s">
        <v>779</v>
      </c>
      <c r="R387" s="5"/>
      <c r="S387" s="15"/>
      <c r="U387" s="12">
        <v>4</v>
      </c>
      <c r="V387" s="4">
        <v>1835</v>
      </c>
      <c r="W387" s="14">
        <v>46020</v>
      </c>
      <c r="X387" s="4" t="s">
        <v>50</v>
      </c>
      <c r="Y387" s="13">
        <v>270</v>
      </c>
      <c r="Z387" s="26">
        <v>46042</v>
      </c>
      <c r="AA387" s="4" t="s">
        <v>299</v>
      </c>
      <c r="AB387" s="4" t="s">
        <v>312</v>
      </c>
      <c r="AC387" s="33">
        <v>44818371185</v>
      </c>
      <c r="AD387" s="9">
        <v>98000</v>
      </c>
      <c r="AE387" s="5">
        <v>46031</v>
      </c>
      <c r="AF387" s="11"/>
      <c r="AG387" s="11"/>
      <c r="AI387" s="9"/>
      <c r="AJ387" s="11"/>
      <c r="AK387" s="4">
        <v>64</v>
      </c>
      <c r="AL387" s="14">
        <v>46042</v>
      </c>
    </row>
    <row r="388" spans="1:38" ht="43.5">
      <c r="A388" s="4" t="s">
        <v>50</v>
      </c>
      <c r="B388" s="4">
        <v>24</v>
      </c>
      <c r="C388" s="4">
        <v>32</v>
      </c>
      <c r="D388" s="6" t="s">
        <v>881</v>
      </c>
      <c r="E388" s="4" t="s">
        <v>10</v>
      </c>
      <c r="F388" s="4" t="str" cm="1">
        <f t="array" ref="F388">_xlfn.IFS(
  E388="Mahuva", "Mahuva",
  E388="Jesar", "Mahuva",
  E388="Palitana", "Palitana",
  E388="Gariyadhar", "Palitana",
  E388="Talaja", "Talaja",
  E388="Vallabhipur", "Vallabhipur",
  E388="Umrala", "Vallabhipur",
  E388="Shihor", "Shihor",
  E388="Ghogha", "Bhavnagar",
  E388="Bhavnagar", "Bhavnagar"
)</f>
        <v>Mahuva</v>
      </c>
      <c r="G388" s="4" t="s">
        <v>206</v>
      </c>
      <c r="H388" s="4">
        <v>253560</v>
      </c>
      <c r="I388" s="4">
        <v>1</v>
      </c>
      <c r="J388" s="5">
        <v>46004</v>
      </c>
      <c r="K388" s="5">
        <v>46013</v>
      </c>
      <c r="L388" s="5">
        <v>46014</v>
      </c>
      <c r="M388" s="7">
        <v>2079935.15</v>
      </c>
      <c r="N388" s="7">
        <v>1932883.73</v>
      </c>
      <c r="O388" s="8">
        <v>-7.07</v>
      </c>
      <c r="P388" s="8" t="str">
        <f>IF(O388&lt;0,"Below",IF(O388&gt;0,"Above","Equals"))</f>
        <v>Below</v>
      </c>
      <c r="Q388" s="4" t="s">
        <v>350</v>
      </c>
      <c r="R388" s="5"/>
      <c r="S388" s="15"/>
      <c r="U388" s="12">
        <v>4</v>
      </c>
      <c r="V388" s="4">
        <v>1836</v>
      </c>
      <c r="W388" s="14">
        <v>46020</v>
      </c>
      <c r="X388" s="4" t="s">
        <v>1126</v>
      </c>
      <c r="Y388" s="13">
        <v>10</v>
      </c>
      <c r="Z388" s="26">
        <v>46113</v>
      </c>
      <c r="AA388" s="4" t="s">
        <v>299</v>
      </c>
      <c r="AB388" s="4" t="s">
        <v>312</v>
      </c>
      <c r="AC388" s="33" t="s">
        <v>1134</v>
      </c>
      <c r="AD388" s="9">
        <v>97000</v>
      </c>
      <c r="AE388" s="5">
        <v>46087</v>
      </c>
      <c r="AF388" s="11"/>
      <c r="AG388" s="11"/>
      <c r="AI388" s="9"/>
      <c r="AJ388" s="11"/>
      <c r="AK388" s="4">
        <v>464</v>
      </c>
      <c r="AL388" s="14">
        <v>46113</v>
      </c>
    </row>
    <row r="389" spans="1:38" ht="43.5">
      <c r="A389" s="4" t="s">
        <v>50</v>
      </c>
      <c r="B389" s="4">
        <v>24</v>
      </c>
      <c r="C389" s="4">
        <v>33</v>
      </c>
      <c r="D389" s="6" t="s">
        <v>882</v>
      </c>
      <c r="E389" s="4" t="s">
        <v>10</v>
      </c>
      <c r="F389" s="4" t="str" cm="1">
        <f t="array" ref="F389">_xlfn.IFS(
  E389="Mahuva", "Mahuva",
  E389="Jesar", "Mahuva",
  E389="Palitana", "Palitana",
  E389="Gariyadhar", "Palitana",
  E389="Talaja", "Talaja",
  E389="Vallabhipur", "Vallabhipur",
  E389="Umrala", "Vallabhipur",
  E389="Shihor", "Shihor",
  E389="Ghogha", "Bhavnagar",
  E389="Bhavnagar", "Bhavnagar"
)</f>
        <v>Mahuva</v>
      </c>
      <c r="G389" s="4" t="s">
        <v>206</v>
      </c>
      <c r="H389" s="4">
        <v>253573</v>
      </c>
      <c r="I389" s="4">
        <v>1</v>
      </c>
      <c r="J389" s="5">
        <v>46004</v>
      </c>
      <c r="K389" s="5">
        <v>46013</v>
      </c>
      <c r="L389" s="5">
        <v>46014</v>
      </c>
      <c r="M389" s="7">
        <v>2880152.67</v>
      </c>
      <c r="N389" s="7">
        <v>2749393.74</v>
      </c>
      <c r="O389" s="8">
        <v>-4.54</v>
      </c>
      <c r="P389" s="8" t="str">
        <f>IF(O389&lt;0,"Below",IF(O389&gt;0,"Above","Equals"))</f>
        <v>Below</v>
      </c>
      <c r="Q389" s="4" t="s">
        <v>122</v>
      </c>
      <c r="R389" s="5"/>
      <c r="S389" s="15"/>
      <c r="U389" s="12">
        <v>4</v>
      </c>
      <c r="V389" s="4">
        <v>1837</v>
      </c>
      <c r="W389" s="14">
        <v>46020</v>
      </c>
      <c r="X389" s="4" t="s">
        <v>50</v>
      </c>
      <c r="Y389" s="13">
        <v>354</v>
      </c>
      <c r="Z389" s="26">
        <v>46108</v>
      </c>
      <c r="AA389" s="4" t="s">
        <v>299</v>
      </c>
      <c r="AB389" s="4" t="s">
        <v>312</v>
      </c>
      <c r="AC389" s="33" t="s">
        <v>1122</v>
      </c>
      <c r="AD389" s="9">
        <v>138000</v>
      </c>
      <c r="AE389" s="5">
        <v>46080</v>
      </c>
      <c r="AF389" s="11"/>
      <c r="AG389" s="11"/>
      <c r="AI389" s="9"/>
      <c r="AJ389" s="11"/>
      <c r="AK389" s="4">
        <v>437</v>
      </c>
      <c r="AL389" s="26">
        <v>46108</v>
      </c>
    </row>
    <row r="390" spans="1:38" ht="43.5">
      <c r="A390" s="4" t="s">
        <v>50</v>
      </c>
      <c r="B390" s="4">
        <v>24</v>
      </c>
      <c r="C390" s="4">
        <v>34</v>
      </c>
      <c r="D390" s="6" t="s">
        <v>883</v>
      </c>
      <c r="E390" s="4" t="s">
        <v>10</v>
      </c>
      <c r="F390" s="4" t="str" cm="1">
        <f t="array" ref="F390">_xlfn.IFS(
  E390="Mahuva", "Mahuva",
  E390="Jesar", "Mahuva",
  E390="Palitana", "Palitana",
  E390="Gariyadhar", "Palitana",
  E390="Talaja", "Talaja",
  E390="Vallabhipur", "Vallabhipur",
  E390="Umrala", "Vallabhipur",
  E390="Shihor", "Shihor",
  E390="Ghogha", "Bhavnagar",
  E390="Bhavnagar", "Bhavnagar"
)</f>
        <v>Mahuva</v>
      </c>
      <c r="G390" s="4" t="s">
        <v>206</v>
      </c>
      <c r="H390" s="4">
        <v>253561</v>
      </c>
      <c r="I390" s="4">
        <v>1</v>
      </c>
      <c r="J390" s="5">
        <v>46004</v>
      </c>
      <c r="K390" s="5">
        <v>46013</v>
      </c>
      <c r="L390" s="5">
        <v>46014</v>
      </c>
      <c r="M390" s="7">
        <v>2079935.15</v>
      </c>
      <c r="N390" s="7">
        <v>1928931.86</v>
      </c>
      <c r="O390" s="8">
        <v>-7.26</v>
      </c>
      <c r="P390" s="8" t="str">
        <f>IF(O390&lt;0,"Below",IF(O390&gt;0,"Above","Equals"))</f>
        <v>Below</v>
      </c>
      <c r="Q390" s="4" t="s">
        <v>844</v>
      </c>
      <c r="R390" s="5"/>
      <c r="S390" s="15"/>
      <c r="U390" s="12">
        <v>4</v>
      </c>
      <c r="V390" s="4">
        <v>1838</v>
      </c>
      <c r="W390" s="14">
        <v>46020</v>
      </c>
      <c r="X390" s="4" t="s">
        <v>50</v>
      </c>
      <c r="Y390" s="13">
        <v>269</v>
      </c>
      <c r="Z390" s="26">
        <v>46042</v>
      </c>
      <c r="AA390" s="4" t="s">
        <v>299</v>
      </c>
      <c r="AB390" s="4" t="s">
        <v>312</v>
      </c>
      <c r="AC390" s="33">
        <v>44803464850</v>
      </c>
      <c r="AD390" s="9">
        <v>97000</v>
      </c>
      <c r="AE390" s="5">
        <v>46027</v>
      </c>
      <c r="AF390" s="11"/>
      <c r="AG390" s="11"/>
      <c r="AI390" s="9"/>
      <c r="AJ390" s="11"/>
      <c r="AK390" s="4">
        <v>63</v>
      </c>
      <c r="AL390" s="14">
        <v>46042</v>
      </c>
    </row>
    <row r="391" spans="1:38" ht="43.5">
      <c r="A391" s="4" t="s">
        <v>50</v>
      </c>
      <c r="B391" s="4">
        <v>24</v>
      </c>
      <c r="C391" s="4">
        <v>35</v>
      </c>
      <c r="D391" s="6" t="s">
        <v>917</v>
      </c>
      <c r="E391" s="4" t="s">
        <v>10</v>
      </c>
      <c r="F391" s="4" t="str" cm="1">
        <f t="array" ref="F391">_xlfn.IFS(
  E391="Mahuva", "Mahuva",
  E391="Jesar", "Mahuva",
  E391="Palitana", "Palitana",
  E391="Gariyadhar", "Palitana",
  E391="Talaja", "Talaja",
  E391="Vallabhipur", "Vallabhipur",
  E391="Umrala", "Vallabhipur",
  E391="Shihor", "Shihor",
  E391="Ghogha", "Bhavnagar",
  E391="Bhavnagar", "Bhavnagar"
)</f>
        <v>Mahuva</v>
      </c>
      <c r="G391" s="4" t="s">
        <v>206</v>
      </c>
      <c r="H391" s="4">
        <v>253578</v>
      </c>
      <c r="I391" s="4">
        <v>1</v>
      </c>
      <c r="J391" s="5">
        <v>46004</v>
      </c>
      <c r="K391" s="5">
        <v>46013</v>
      </c>
      <c r="L391" s="5">
        <v>46014</v>
      </c>
      <c r="M391" s="7">
        <v>3343492.09</v>
      </c>
      <c r="N391" s="7">
        <v>2979051.45</v>
      </c>
      <c r="O391" s="8">
        <v>-10.9</v>
      </c>
      <c r="P391" s="8" t="str">
        <f>IF(O391&lt;0,"Below",IF(O391&gt;0,"Above","Equals"))</f>
        <v>Below</v>
      </c>
      <c r="Q391" s="4" t="s">
        <v>850</v>
      </c>
      <c r="R391" s="5"/>
      <c r="S391" s="15"/>
      <c r="U391" s="12">
        <v>4</v>
      </c>
      <c r="V391" s="4">
        <v>1839</v>
      </c>
      <c r="W391" s="14">
        <v>46020</v>
      </c>
      <c r="X391" s="4" t="s">
        <v>50</v>
      </c>
      <c r="Y391" s="13">
        <v>333</v>
      </c>
      <c r="Z391" s="14">
        <v>46088</v>
      </c>
      <c r="AA391" s="4" t="s">
        <v>299</v>
      </c>
      <c r="AB391" s="4" t="s">
        <v>944</v>
      </c>
      <c r="AC391" s="33" t="s">
        <v>1057</v>
      </c>
      <c r="AD391" s="9">
        <v>149000</v>
      </c>
      <c r="AE391" s="5">
        <v>46024</v>
      </c>
      <c r="AF391" s="4" t="s">
        <v>299</v>
      </c>
      <c r="AG391" s="4" t="s">
        <v>944</v>
      </c>
      <c r="AH391" s="33" t="s">
        <v>1058</v>
      </c>
      <c r="AI391" s="9">
        <v>7000</v>
      </c>
      <c r="AJ391" s="5">
        <v>46024</v>
      </c>
      <c r="AK391" s="4">
        <v>337</v>
      </c>
      <c r="AL391" s="14">
        <v>46088</v>
      </c>
    </row>
    <row r="392" spans="1:38" ht="43.5">
      <c r="A392" s="4" t="s">
        <v>50</v>
      </c>
      <c r="B392" s="4">
        <v>24</v>
      </c>
      <c r="C392" s="4">
        <v>36</v>
      </c>
      <c r="D392" s="6" t="s">
        <v>884</v>
      </c>
      <c r="E392" s="4" t="s">
        <v>10</v>
      </c>
      <c r="F392" s="4" t="str" cm="1">
        <f t="array" ref="F392">_xlfn.IFS(
  E392="Mahuva", "Mahuva",
  E392="Jesar", "Mahuva",
  E392="Palitana", "Palitana",
  E392="Gariyadhar", "Palitana",
  E392="Talaja", "Talaja",
  E392="Vallabhipur", "Vallabhipur",
  E392="Umrala", "Vallabhipur",
  E392="Shihor", "Shihor",
  E392="Ghogha", "Bhavnagar",
  E392="Bhavnagar", "Bhavnagar"
)</f>
        <v>Mahuva</v>
      </c>
      <c r="G392" s="4" t="s">
        <v>206</v>
      </c>
      <c r="H392" s="4">
        <v>253562</v>
      </c>
      <c r="I392" s="4">
        <v>1</v>
      </c>
      <c r="J392" s="5">
        <v>46004</v>
      </c>
      <c r="K392" s="5">
        <v>46013</v>
      </c>
      <c r="L392" s="5">
        <v>46014</v>
      </c>
      <c r="M392" s="7">
        <v>2079935.15</v>
      </c>
      <c r="N392" s="7">
        <v>1896276.88</v>
      </c>
      <c r="O392" s="8">
        <v>-8.83</v>
      </c>
      <c r="P392" s="8" t="str">
        <f>IF(O392&lt;0,"Below",IF(O392&gt;0,"Above","Equals"))</f>
        <v>Below</v>
      </c>
      <c r="Q392" s="4" t="s">
        <v>779</v>
      </c>
      <c r="R392" s="5"/>
      <c r="S392" s="15"/>
      <c r="U392" s="12">
        <v>4</v>
      </c>
      <c r="V392" s="4">
        <v>1840</v>
      </c>
      <c r="W392" s="14">
        <v>46020</v>
      </c>
      <c r="X392" s="4"/>
      <c r="Y392" s="13"/>
      <c r="Z392" s="13"/>
      <c r="AA392" s="4"/>
      <c r="AB392" s="4"/>
      <c r="AD392" s="9"/>
      <c r="AE392" s="5"/>
      <c r="AF392" s="11"/>
      <c r="AG392" s="11"/>
      <c r="AI392" s="9"/>
      <c r="AJ392" s="11"/>
      <c r="AK392" s="4"/>
    </row>
    <row r="393" spans="1:38" ht="43.5">
      <c r="A393" s="4" t="s">
        <v>50</v>
      </c>
      <c r="B393" s="4">
        <v>24</v>
      </c>
      <c r="C393" s="4">
        <v>37</v>
      </c>
      <c r="D393" s="6" t="s">
        <v>885</v>
      </c>
      <c r="E393" s="4" t="s">
        <v>10</v>
      </c>
      <c r="F393" s="4" t="str" cm="1">
        <f t="array" ref="F393">_xlfn.IFS(
  E393="Mahuva", "Mahuva",
  E393="Jesar", "Mahuva",
  E393="Palitana", "Palitana",
  E393="Gariyadhar", "Palitana",
  E393="Talaja", "Talaja",
  E393="Vallabhipur", "Vallabhipur",
  E393="Umrala", "Vallabhipur",
  E393="Shihor", "Shihor",
  E393="Ghogha", "Bhavnagar",
  E393="Bhavnagar", "Bhavnagar"
)</f>
        <v>Mahuva</v>
      </c>
      <c r="G393" s="4" t="s">
        <v>206</v>
      </c>
      <c r="H393" s="4">
        <v>253574</v>
      </c>
      <c r="I393" s="4">
        <v>1</v>
      </c>
      <c r="J393" s="5">
        <v>46004</v>
      </c>
      <c r="K393" s="5">
        <v>46013</v>
      </c>
      <c r="L393" s="5">
        <v>46014</v>
      </c>
      <c r="M393" s="7">
        <v>2880152.67</v>
      </c>
      <c r="N393" s="7">
        <v>2718288.09</v>
      </c>
      <c r="O393" s="8">
        <v>-5.62</v>
      </c>
      <c r="P393" s="8" t="str">
        <f>IF(O393&lt;0,"Below",IF(O393&gt;0,"Above","Equals"))</f>
        <v>Below</v>
      </c>
      <c r="Q393" s="4" t="s">
        <v>337</v>
      </c>
      <c r="R393" s="5"/>
      <c r="S393" s="15"/>
      <c r="U393" s="12">
        <v>4</v>
      </c>
      <c r="V393" s="4">
        <v>1841</v>
      </c>
      <c r="W393" s="14">
        <v>46020</v>
      </c>
      <c r="X393" s="4" t="s">
        <v>50</v>
      </c>
      <c r="Y393" s="13">
        <v>348</v>
      </c>
      <c r="Z393" s="26">
        <v>46108</v>
      </c>
      <c r="AA393" s="4" t="s">
        <v>299</v>
      </c>
      <c r="AB393" s="4" t="s">
        <v>1110</v>
      </c>
      <c r="AC393" s="33" t="s">
        <v>1114</v>
      </c>
      <c r="AD393" s="9">
        <v>136000</v>
      </c>
      <c r="AE393" s="5">
        <v>46091</v>
      </c>
      <c r="AF393" s="11"/>
      <c r="AG393" s="11"/>
      <c r="AI393" s="9"/>
      <c r="AJ393" s="11"/>
      <c r="AK393" s="4">
        <v>431</v>
      </c>
      <c r="AL393" s="26">
        <v>46108</v>
      </c>
    </row>
    <row r="394" spans="1:38" ht="43.5">
      <c r="A394" s="4" t="s">
        <v>50</v>
      </c>
      <c r="B394" s="4">
        <v>24</v>
      </c>
      <c r="C394" s="4">
        <v>38</v>
      </c>
      <c r="D394" s="6" t="s">
        <v>886</v>
      </c>
      <c r="E394" s="4" t="s">
        <v>10</v>
      </c>
      <c r="F394" s="4" t="str" cm="1">
        <f t="array" ref="F394">_xlfn.IFS(
  E394="Mahuva", "Mahuva",
  E394="Jesar", "Mahuva",
  E394="Palitana", "Palitana",
  E394="Gariyadhar", "Palitana",
  E394="Talaja", "Talaja",
  E394="Vallabhipur", "Vallabhipur",
  E394="Umrala", "Vallabhipur",
  E394="Shihor", "Shihor",
  E394="Ghogha", "Bhavnagar",
  E394="Bhavnagar", "Bhavnagar"
)</f>
        <v>Mahuva</v>
      </c>
      <c r="G394" s="4" t="s">
        <v>206</v>
      </c>
      <c r="H394" s="4">
        <v>253563</v>
      </c>
      <c r="I394" s="4">
        <v>1</v>
      </c>
      <c r="J394" s="5">
        <v>46004</v>
      </c>
      <c r="K394" s="5">
        <v>46013</v>
      </c>
      <c r="L394" s="5">
        <v>46014</v>
      </c>
      <c r="M394" s="7">
        <v>2079935.15</v>
      </c>
      <c r="N394" s="7">
        <v>1986130.07</v>
      </c>
      <c r="O394" s="8">
        <v>-4.51</v>
      </c>
      <c r="P394" s="8" t="str">
        <f>IF(O394&lt;0,"Below",IF(O394&gt;0,"Above","Equals"))</f>
        <v>Below</v>
      </c>
      <c r="Q394" s="4" t="s">
        <v>231</v>
      </c>
      <c r="R394" s="5"/>
      <c r="S394" s="15"/>
      <c r="U394" s="12">
        <v>4</v>
      </c>
      <c r="V394" s="4">
        <v>1842</v>
      </c>
      <c r="W394" s="14">
        <v>46020</v>
      </c>
      <c r="X394" s="4" t="s">
        <v>50</v>
      </c>
      <c r="Y394" s="13">
        <v>353</v>
      </c>
      <c r="Z394" s="26">
        <v>46108</v>
      </c>
      <c r="AA394" s="4" t="s">
        <v>299</v>
      </c>
      <c r="AB394" s="4" t="s">
        <v>312</v>
      </c>
      <c r="AC394" s="33" t="s">
        <v>1121</v>
      </c>
      <c r="AD394" s="9">
        <v>100000</v>
      </c>
      <c r="AE394" s="5">
        <v>46091</v>
      </c>
      <c r="AF394" s="11"/>
      <c r="AG394" s="11"/>
      <c r="AI394" s="9"/>
      <c r="AJ394" s="11"/>
      <c r="AK394" s="4">
        <v>436</v>
      </c>
      <c r="AL394" s="26">
        <v>46108</v>
      </c>
    </row>
    <row r="395" spans="1:38" ht="43.5">
      <c r="A395" s="4" t="s">
        <v>50</v>
      </c>
      <c r="B395" s="4">
        <v>24</v>
      </c>
      <c r="C395" s="4">
        <v>39</v>
      </c>
      <c r="D395" s="6" t="s">
        <v>921</v>
      </c>
      <c r="E395" s="4" t="s">
        <v>10</v>
      </c>
      <c r="F395" s="4" t="str" cm="1">
        <f t="array" ref="F395">_xlfn.IFS(
  E395="Mahuva", "Mahuva",
  E395="Jesar", "Mahuva",
  E395="Palitana", "Palitana",
  E395="Gariyadhar", "Palitana",
  E395="Talaja", "Talaja",
  E395="Vallabhipur", "Vallabhipur",
  E395="Umrala", "Vallabhipur",
  E395="Shihor", "Shihor",
  E395="Ghogha", "Bhavnagar",
  E395="Bhavnagar", "Bhavnagar"
)</f>
        <v>Mahuva</v>
      </c>
      <c r="G395" s="4" t="s">
        <v>206</v>
      </c>
      <c r="H395" s="4">
        <v>253575</v>
      </c>
      <c r="I395" s="4">
        <v>1</v>
      </c>
      <c r="J395" s="5">
        <v>46004</v>
      </c>
      <c r="K395" s="5">
        <v>46013</v>
      </c>
      <c r="L395" s="5">
        <v>46014</v>
      </c>
      <c r="M395" s="7">
        <v>2880152.67</v>
      </c>
      <c r="N395" s="7">
        <v>2678541.98</v>
      </c>
      <c r="O395" s="8">
        <v>-7</v>
      </c>
      <c r="P395" s="8" t="str">
        <f>IF(O395&lt;0,"Below",IF(O395&gt;0,"Above","Equals"))</f>
        <v>Below</v>
      </c>
      <c r="Q395" s="4" t="s">
        <v>844</v>
      </c>
      <c r="R395" s="5"/>
      <c r="S395" s="15"/>
      <c r="U395" s="12">
        <v>4</v>
      </c>
      <c r="V395" s="4">
        <v>1843</v>
      </c>
      <c r="W395" s="14">
        <v>46020</v>
      </c>
      <c r="X395" s="4" t="s">
        <v>50</v>
      </c>
      <c r="Y395" s="13">
        <v>294</v>
      </c>
      <c r="Z395" s="26">
        <v>46052</v>
      </c>
      <c r="AA395" s="4" t="s">
        <v>299</v>
      </c>
      <c r="AB395" s="4" t="s">
        <v>312</v>
      </c>
      <c r="AC395" s="33">
        <v>44803435342</v>
      </c>
      <c r="AD395" s="9">
        <v>134000</v>
      </c>
      <c r="AE395" s="5">
        <v>46027</v>
      </c>
      <c r="AF395" s="11"/>
      <c r="AG395" s="11"/>
      <c r="AI395" s="9"/>
      <c r="AJ395" s="11"/>
      <c r="AK395" s="4">
        <v>105</v>
      </c>
      <c r="AL395" s="14">
        <v>46052</v>
      </c>
    </row>
    <row r="396" spans="1:38" ht="43.5">
      <c r="A396" s="4" t="s">
        <v>50</v>
      </c>
      <c r="B396" s="4">
        <v>24</v>
      </c>
      <c r="C396" s="4">
        <v>40</v>
      </c>
      <c r="D396" s="6" t="s">
        <v>887</v>
      </c>
      <c r="E396" s="4" t="s">
        <v>10</v>
      </c>
      <c r="F396" s="4" t="str" cm="1">
        <f t="array" ref="F396">_xlfn.IFS(
  E396="Mahuva", "Mahuva",
  E396="Jesar", "Mahuva",
  E396="Palitana", "Palitana",
  E396="Gariyadhar", "Palitana",
  E396="Talaja", "Talaja",
  E396="Vallabhipur", "Vallabhipur",
  E396="Umrala", "Vallabhipur",
  E396="Shihor", "Shihor",
  E396="Ghogha", "Bhavnagar",
  E396="Bhavnagar", "Bhavnagar"
)</f>
        <v>Mahuva</v>
      </c>
      <c r="G396" s="4" t="s">
        <v>206</v>
      </c>
      <c r="H396" s="4">
        <v>253564</v>
      </c>
      <c r="I396" s="4">
        <v>1</v>
      </c>
      <c r="J396" s="5">
        <v>46004</v>
      </c>
      <c r="K396" s="5">
        <v>46013</v>
      </c>
      <c r="L396" s="5">
        <v>46014</v>
      </c>
      <c r="M396" s="7">
        <v>2079935.15</v>
      </c>
      <c r="N396" s="7">
        <v>1941411.47</v>
      </c>
      <c r="O396" s="8">
        <v>-6.66</v>
      </c>
      <c r="P396" s="8" t="str">
        <f>IF(O396&lt;0,"Below",IF(O396&gt;0,"Above","Equals"))</f>
        <v>Below</v>
      </c>
      <c r="Q396" s="4" t="s">
        <v>229</v>
      </c>
      <c r="R396" s="5"/>
      <c r="S396" s="15"/>
      <c r="U396" s="12">
        <v>4</v>
      </c>
      <c r="V396" s="4">
        <v>1844</v>
      </c>
      <c r="W396" s="14">
        <v>46020</v>
      </c>
      <c r="X396" s="4" t="s">
        <v>50</v>
      </c>
      <c r="Y396" s="13">
        <v>273</v>
      </c>
      <c r="Z396" s="26">
        <v>46042</v>
      </c>
      <c r="AA396" s="4" t="s">
        <v>299</v>
      </c>
      <c r="AB396" s="4" t="s">
        <v>312</v>
      </c>
      <c r="AC396" s="33" t="s">
        <v>959</v>
      </c>
      <c r="AD396" s="9">
        <v>98000</v>
      </c>
      <c r="AE396" s="5">
        <v>46030</v>
      </c>
      <c r="AF396" s="11"/>
      <c r="AG396" s="11"/>
      <c r="AI396" s="9"/>
      <c r="AJ396" s="11"/>
      <c r="AK396" s="4">
        <v>67</v>
      </c>
      <c r="AL396" s="14">
        <v>45677</v>
      </c>
    </row>
    <row r="397" spans="1:38" ht="43.5">
      <c r="A397" s="4" t="s">
        <v>50</v>
      </c>
      <c r="B397" s="4">
        <v>24</v>
      </c>
      <c r="C397" s="4">
        <v>41</v>
      </c>
      <c r="D397" s="6" t="s">
        <v>888</v>
      </c>
      <c r="E397" s="4" t="s">
        <v>10</v>
      </c>
      <c r="F397" s="4" t="str" cm="1">
        <f t="array" ref="F397">_xlfn.IFS(
  E397="Mahuva", "Mahuva",
  E397="Jesar", "Mahuva",
  E397="Palitana", "Palitana",
  E397="Gariyadhar", "Palitana",
  E397="Talaja", "Talaja",
  E397="Vallabhipur", "Vallabhipur",
  E397="Umrala", "Vallabhipur",
  E397="Shihor", "Shihor",
  E397="Ghogha", "Bhavnagar",
  E397="Bhavnagar", "Bhavnagar"
)</f>
        <v>Mahuva</v>
      </c>
      <c r="G397" s="4" t="s">
        <v>206</v>
      </c>
      <c r="H397" s="4">
        <v>253597</v>
      </c>
      <c r="I397" s="4">
        <v>1</v>
      </c>
      <c r="J397" s="5">
        <v>46004</v>
      </c>
      <c r="K397" s="5">
        <v>46013</v>
      </c>
      <c r="L397" s="5">
        <v>46014</v>
      </c>
      <c r="M397" s="7">
        <v>2067497.06</v>
      </c>
      <c r="N397" s="7">
        <v>1906852.54</v>
      </c>
      <c r="O397" s="8">
        <v>-7.77</v>
      </c>
      <c r="P397" s="8" t="str">
        <f>IF(O397&lt;0,"Below",IF(O397&gt;0,"Above","Equals"))</f>
        <v>Below</v>
      </c>
      <c r="Q397" s="4" t="s">
        <v>229</v>
      </c>
      <c r="R397" s="5"/>
      <c r="S397" s="15"/>
      <c r="U397" s="12">
        <v>4</v>
      </c>
      <c r="V397" s="4">
        <v>1845</v>
      </c>
      <c r="W397" s="14">
        <v>46020</v>
      </c>
      <c r="X397" s="4" t="s">
        <v>50</v>
      </c>
      <c r="Y397" s="13">
        <v>274</v>
      </c>
      <c r="Z397" s="26">
        <v>46042</v>
      </c>
      <c r="AA397" s="4" t="s">
        <v>299</v>
      </c>
      <c r="AB397" s="4" t="s">
        <v>312</v>
      </c>
      <c r="AC397" s="33" t="s">
        <v>960</v>
      </c>
      <c r="AD397" s="9">
        <v>96000</v>
      </c>
      <c r="AE397" s="5">
        <v>46030</v>
      </c>
      <c r="AF397" s="11"/>
      <c r="AG397" s="11"/>
      <c r="AI397" s="9"/>
      <c r="AJ397" s="11"/>
      <c r="AK397" s="4">
        <v>68</v>
      </c>
      <c r="AL397" s="14">
        <v>45677</v>
      </c>
    </row>
    <row r="398" spans="1:38" ht="43.5">
      <c r="A398" s="4" t="s">
        <v>50</v>
      </c>
      <c r="B398" s="4">
        <v>24</v>
      </c>
      <c r="C398" s="4">
        <v>42</v>
      </c>
      <c r="D398" s="6" t="s">
        <v>889</v>
      </c>
      <c r="E398" s="4" t="s">
        <v>10</v>
      </c>
      <c r="F398" s="4" t="str" cm="1">
        <f t="array" ref="F398">_xlfn.IFS(
  E398="Mahuva", "Mahuva",
  E398="Jesar", "Mahuva",
  E398="Palitana", "Palitana",
  E398="Gariyadhar", "Palitana",
  E398="Talaja", "Talaja",
  E398="Vallabhipur", "Vallabhipur",
  E398="Umrala", "Vallabhipur",
  E398="Shihor", "Shihor",
  E398="Ghogha", "Bhavnagar",
  E398="Bhavnagar", "Bhavnagar"
)</f>
        <v>Mahuva</v>
      </c>
      <c r="G398" s="4" t="s">
        <v>206</v>
      </c>
      <c r="H398" s="4">
        <v>253598</v>
      </c>
      <c r="I398" s="4">
        <v>1</v>
      </c>
      <c r="J398" s="5">
        <v>46004</v>
      </c>
      <c r="K398" s="5">
        <v>46013</v>
      </c>
      <c r="L398" s="5">
        <v>46014</v>
      </c>
      <c r="M398" s="7">
        <v>2067497.06</v>
      </c>
      <c r="N398" s="7">
        <v>1911814.53</v>
      </c>
      <c r="O398" s="8">
        <v>-7.53</v>
      </c>
      <c r="P398" s="8" t="str">
        <f>IF(O398&lt;0,"Below",IF(O398&gt;0,"Above","Equals"))</f>
        <v>Below</v>
      </c>
      <c r="Q398" s="4" t="s">
        <v>779</v>
      </c>
      <c r="R398" s="5"/>
      <c r="S398" s="15"/>
      <c r="U398" s="12">
        <v>4</v>
      </c>
      <c r="V398" s="4">
        <v>1846</v>
      </c>
      <c r="W398" s="14">
        <v>46020</v>
      </c>
      <c r="X398" s="4"/>
      <c r="Y398" s="13"/>
      <c r="Z398" s="13"/>
      <c r="AA398" s="4"/>
      <c r="AB398" s="4"/>
      <c r="AD398" s="9"/>
      <c r="AE398" s="5"/>
      <c r="AF398" s="11"/>
      <c r="AG398" s="11"/>
      <c r="AI398" s="9"/>
      <c r="AJ398" s="11"/>
      <c r="AK398" s="4"/>
    </row>
    <row r="399" spans="1:38" ht="58">
      <c r="A399" s="4" t="s">
        <v>50</v>
      </c>
      <c r="B399" s="4">
        <v>24</v>
      </c>
      <c r="C399" s="4">
        <v>43</v>
      </c>
      <c r="D399" s="6" t="s">
        <v>890</v>
      </c>
      <c r="E399" s="4" t="s">
        <v>10</v>
      </c>
      <c r="F399" s="4" t="str" cm="1">
        <f t="array" ref="F399">_xlfn.IFS(
  E399="Mahuva", "Mahuva",
  E399="Jesar", "Mahuva",
  E399="Palitana", "Palitana",
  E399="Gariyadhar", "Palitana",
  E399="Talaja", "Talaja",
  E399="Vallabhipur", "Vallabhipur",
  E399="Umrala", "Vallabhipur",
  E399="Shihor", "Shihor",
  E399="Ghogha", "Bhavnagar",
  E399="Bhavnagar", "Bhavnagar"
)</f>
        <v>Mahuva</v>
      </c>
      <c r="G399" s="4" t="s">
        <v>206</v>
      </c>
      <c r="H399" s="4">
        <v>253624</v>
      </c>
      <c r="I399" s="4">
        <v>1</v>
      </c>
      <c r="J399" s="5">
        <v>46004</v>
      </c>
      <c r="K399" s="5">
        <v>46013</v>
      </c>
      <c r="L399" s="5">
        <v>46014</v>
      </c>
      <c r="M399" s="7">
        <v>2880130.57</v>
      </c>
      <c r="N399" s="7">
        <v>2624374.98</v>
      </c>
      <c r="O399" s="8">
        <v>-8.8800000000000008</v>
      </c>
      <c r="P399" s="8" t="str">
        <f>IF(O399&lt;0,"Below",IF(O399&gt;0,"Above","Equals"))</f>
        <v>Below</v>
      </c>
      <c r="Q399" s="4" t="s">
        <v>337</v>
      </c>
      <c r="R399" s="5"/>
      <c r="S399" s="15"/>
      <c r="U399" s="12">
        <v>4</v>
      </c>
      <c r="V399" s="4">
        <v>1847</v>
      </c>
      <c r="W399" s="14">
        <v>46020</v>
      </c>
      <c r="X399" s="4" t="s">
        <v>50</v>
      </c>
      <c r="Y399" s="13">
        <v>349</v>
      </c>
      <c r="Z399" s="26">
        <v>46108</v>
      </c>
      <c r="AA399" s="4" t="s">
        <v>299</v>
      </c>
      <c r="AB399" s="4" t="s">
        <v>1110</v>
      </c>
      <c r="AC399" s="33" t="s">
        <v>1115</v>
      </c>
      <c r="AD399" s="9">
        <v>132000</v>
      </c>
      <c r="AE399" s="5">
        <v>46091</v>
      </c>
      <c r="AF399" s="11"/>
      <c r="AG399" s="11"/>
      <c r="AI399" s="9"/>
      <c r="AJ399" s="11"/>
      <c r="AK399" s="4">
        <v>432</v>
      </c>
      <c r="AL399" s="26">
        <v>46108</v>
      </c>
    </row>
    <row r="400" spans="1:38" ht="43.5">
      <c r="A400" s="4" t="s">
        <v>50</v>
      </c>
      <c r="B400" s="4">
        <v>24</v>
      </c>
      <c r="C400" s="4">
        <v>44</v>
      </c>
      <c r="D400" s="6" t="s">
        <v>891</v>
      </c>
      <c r="E400" s="4" t="s">
        <v>10</v>
      </c>
      <c r="F400" s="4" t="str" cm="1">
        <f t="array" ref="F400">_xlfn.IFS(
  E400="Mahuva", "Mahuva",
  E400="Jesar", "Mahuva",
  E400="Palitana", "Palitana",
  E400="Gariyadhar", "Palitana",
  E400="Talaja", "Talaja",
  E400="Vallabhipur", "Vallabhipur",
  E400="Umrala", "Vallabhipur",
  E400="Shihor", "Shihor",
  E400="Ghogha", "Bhavnagar",
  E400="Bhavnagar", "Bhavnagar"
)</f>
        <v>Mahuva</v>
      </c>
      <c r="G400" s="4" t="s">
        <v>206</v>
      </c>
      <c r="H400" s="4">
        <v>253599</v>
      </c>
      <c r="I400" s="4">
        <v>1</v>
      </c>
      <c r="J400" s="5">
        <v>46004</v>
      </c>
      <c r="K400" s="5">
        <v>46013</v>
      </c>
      <c r="L400" s="5">
        <v>46014</v>
      </c>
      <c r="M400" s="7">
        <v>2067497.06</v>
      </c>
      <c r="N400" s="7">
        <v>1915949.53</v>
      </c>
      <c r="O400" s="8">
        <v>-7.33</v>
      </c>
      <c r="P400" s="8" t="str">
        <f>IF(O400&lt;0,"Below",IF(O400&gt;0,"Above","Equals"))</f>
        <v>Below</v>
      </c>
      <c r="Q400" s="4" t="s">
        <v>779</v>
      </c>
      <c r="R400" s="5"/>
      <c r="S400" s="15"/>
      <c r="U400" s="12">
        <v>4</v>
      </c>
      <c r="V400" s="4">
        <v>1848</v>
      </c>
      <c r="W400" s="14">
        <v>46020</v>
      </c>
      <c r="X400" s="4"/>
      <c r="Y400" s="13"/>
      <c r="Z400" s="13"/>
      <c r="AA400" s="4"/>
      <c r="AB400" s="4"/>
      <c r="AD400" s="9"/>
      <c r="AE400" s="5"/>
      <c r="AF400" s="11"/>
      <c r="AG400" s="11"/>
      <c r="AI400" s="9"/>
      <c r="AJ400" s="11"/>
      <c r="AK400" s="4"/>
    </row>
    <row r="401" spans="1:38" ht="43.5">
      <c r="A401" s="4" t="s">
        <v>50</v>
      </c>
      <c r="B401" s="4">
        <v>24</v>
      </c>
      <c r="C401" s="4">
        <v>45</v>
      </c>
      <c r="D401" s="6" t="s">
        <v>892</v>
      </c>
      <c r="E401" s="4" t="s">
        <v>10</v>
      </c>
      <c r="F401" s="4" t="str" cm="1">
        <f t="array" ref="F401">_xlfn.IFS(
  E401="Mahuva", "Mahuva",
  E401="Jesar", "Mahuva",
  E401="Palitana", "Palitana",
  E401="Gariyadhar", "Palitana",
  E401="Talaja", "Talaja",
  E401="Vallabhipur", "Vallabhipur",
  E401="Umrala", "Vallabhipur",
  E401="Shihor", "Shihor",
  E401="Ghogha", "Bhavnagar",
  E401="Bhavnagar", "Bhavnagar"
)</f>
        <v>Mahuva</v>
      </c>
      <c r="G401" s="4" t="s">
        <v>206</v>
      </c>
      <c r="H401" s="4">
        <v>253600</v>
      </c>
      <c r="I401" s="4">
        <v>1</v>
      </c>
      <c r="J401" s="5">
        <v>46004</v>
      </c>
      <c r="K401" s="5">
        <v>46013</v>
      </c>
      <c r="L401" s="5">
        <v>46014</v>
      </c>
      <c r="M401" s="7">
        <v>2067497.06</v>
      </c>
      <c r="N401" s="7">
        <v>1938071.74</v>
      </c>
      <c r="O401" s="8">
        <v>-6.26</v>
      </c>
      <c r="P401" s="8" t="str">
        <f>IF(O401&lt;0,"Below",IF(O401&gt;0,"Above","Equals"))</f>
        <v>Below</v>
      </c>
      <c r="Q401" s="4" t="s">
        <v>851</v>
      </c>
      <c r="R401" s="5"/>
      <c r="S401" s="15"/>
      <c r="U401" s="12">
        <v>4</v>
      </c>
      <c r="V401" s="4">
        <v>1849</v>
      </c>
      <c r="W401" s="14">
        <v>46020</v>
      </c>
      <c r="X401" s="4" t="s">
        <v>50</v>
      </c>
      <c r="Y401" s="13">
        <v>292</v>
      </c>
      <c r="Z401" s="26">
        <v>46052</v>
      </c>
      <c r="AA401" s="4" t="s">
        <v>299</v>
      </c>
      <c r="AB401" s="4" t="s">
        <v>312</v>
      </c>
      <c r="AC401" s="33">
        <v>44803422311</v>
      </c>
      <c r="AD401" s="9">
        <v>97000</v>
      </c>
      <c r="AE401" s="5">
        <v>46027</v>
      </c>
      <c r="AF401" s="11"/>
      <c r="AG401" s="11"/>
      <c r="AI401" s="9"/>
      <c r="AJ401" s="11"/>
      <c r="AK401" s="4">
        <v>103</v>
      </c>
      <c r="AL401" s="14">
        <v>46052</v>
      </c>
    </row>
    <row r="402" spans="1:38" ht="43.5">
      <c r="A402" s="4" t="s">
        <v>50</v>
      </c>
      <c r="B402" s="4">
        <v>24</v>
      </c>
      <c r="C402" s="4">
        <v>46</v>
      </c>
      <c r="D402" s="6" t="s">
        <v>893</v>
      </c>
      <c r="E402" s="4" t="s">
        <v>10</v>
      </c>
      <c r="F402" s="4" t="str" cm="1">
        <f t="array" ref="F402">_xlfn.IFS(
  E402="Mahuva", "Mahuva",
  E402="Jesar", "Mahuva",
  E402="Palitana", "Palitana",
  E402="Gariyadhar", "Palitana",
  E402="Talaja", "Talaja",
  E402="Vallabhipur", "Vallabhipur",
  E402="Umrala", "Vallabhipur",
  E402="Shihor", "Shihor",
  E402="Ghogha", "Bhavnagar",
  E402="Bhavnagar", "Bhavnagar"
)</f>
        <v>Mahuva</v>
      </c>
      <c r="G402" s="4" t="s">
        <v>206</v>
      </c>
      <c r="H402" s="4">
        <v>253601</v>
      </c>
      <c r="I402" s="4">
        <v>1</v>
      </c>
      <c r="J402" s="5">
        <v>46004</v>
      </c>
      <c r="K402" s="5">
        <v>46013</v>
      </c>
      <c r="L402" s="5">
        <v>46014</v>
      </c>
      <c r="M402" s="7">
        <v>2067497.06</v>
      </c>
      <c r="N402" s="7">
        <v>1860954.1</v>
      </c>
      <c r="O402" s="8">
        <v>-9.99</v>
      </c>
      <c r="P402" s="8" t="str">
        <f>IF(O402&lt;0,"Below",IF(O402&gt;0,"Above","Equals"))</f>
        <v>Below</v>
      </c>
      <c r="Q402" s="4" t="s">
        <v>851</v>
      </c>
      <c r="R402" s="5"/>
      <c r="S402" s="15"/>
      <c r="U402" s="12">
        <v>4</v>
      </c>
      <c r="V402" s="4">
        <v>1850</v>
      </c>
      <c r="W402" s="14">
        <v>46020</v>
      </c>
      <c r="X402" s="4" t="s">
        <v>50</v>
      </c>
      <c r="Y402" s="13">
        <v>293</v>
      </c>
      <c r="Z402" s="26">
        <v>46052</v>
      </c>
      <c r="AA402" s="4" t="s">
        <v>299</v>
      </c>
      <c r="AB402" s="4" t="s">
        <v>312</v>
      </c>
      <c r="AC402" s="33">
        <v>44803420958</v>
      </c>
      <c r="AD402" s="9">
        <v>94000</v>
      </c>
      <c r="AE402" s="5">
        <v>46027</v>
      </c>
      <c r="AF402" s="11"/>
      <c r="AG402" s="11"/>
      <c r="AI402" s="9"/>
      <c r="AJ402" s="11"/>
      <c r="AK402" s="4">
        <v>104</v>
      </c>
      <c r="AL402" s="14">
        <v>46052</v>
      </c>
    </row>
    <row r="403" spans="1:38" ht="43.5">
      <c r="A403" s="4" t="s">
        <v>50</v>
      </c>
      <c r="B403" s="4">
        <v>24</v>
      </c>
      <c r="C403" s="4">
        <v>47</v>
      </c>
      <c r="D403" s="6" t="s">
        <v>894</v>
      </c>
      <c r="E403" s="4" t="s">
        <v>10</v>
      </c>
      <c r="F403" s="4" t="str" cm="1">
        <f t="array" ref="F403">_xlfn.IFS(
  E403="Mahuva", "Mahuva",
  E403="Jesar", "Mahuva",
  E403="Palitana", "Palitana",
  E403="Gariyadhar", "Palitana",
  E403="Talaja", "Talaja",
  E403="Vallabhipur", "Vallabhipur",
  E403="Umrala", "Vallabhipur",
  E403="Shihor", "Shihor",
  E403="Ghogha", "Bhavnagar",
  E403="Bhavnagar", "Bhavnagar"
)</f>
        <v>Mahuva</v>
      </c>
      <c r="G403" s="4" t="s">
        <v>206</v>
      </c>
      <c r="H403" s="4">
        <v>253602</v>
      </c>
      <c r="I403" s="4">
        <v>1</v>
      </c>
      <c r="J403" s="5">
        <v>46004</v>
      </c>
      <c r="K403" s="5">
        <v>46013</v>
      </c>
      <c r="L403" s="5">
        <v>46014</v>
      </c>
      <c r="M403" s="7">
        <v>2067497.06</v>
      </c>
      <c r="N403" s="7">
        <v>1953577.97</v>
      </c>
      <c r="O403" s="8">
        <v>-5.51</v>
      </c>
      <c r="P403" s="8" t="str">
        <f>IF(O403&lt;0,"Below",IF(O403&gt;0,"Above","Equals"))</f>
        <v>Below</v>
      </c>
      <c r="Q403" s="4" t="s">
        <v>229</v>
      </c>
      <c r="R403" s="5"/>
      <c r="S403" s="15"/>
      <c r="U403" s="12">
        <v>4</v>
      </c>
      <c r="V403" s="4">
        <v>1851</v>
      </c>
      <c r="W403" s="14">
        <v>46020</v>
      </c>
      <c r="X403" s="4" t="s">
        <v>50</v>
      </c>
      <c r="Y403" s="13">
        <v>275</v>
      </c>
      <c r="Z403" s="26">
        <v>46042</v>
      </c>
      <c r="AA403" s="4" t="s">
        <v>299</v>
      </c>
      <c r="AB403" s="4" t="s">
        <v>312</v>
      </c>
      <c r="AC403" s="33" t="s">
        <v>961</v>
      </c>
      <c r="AD403" s="9">
        <v>98000</v>
      </c>
      <c r="AE403" s="5">
        <v>46030</v>
      </c>
      <c r="AF403" s="11"/>
      <c r="AG403" s="11"/>
      <c r="AI403" s="9"/>
      <c r="AJ403" s="11"/>
      <c r="AK403" s="4">
        <v>69</v>
      </c>
      <c r="AL403" s="14">
        <v>45677</v>
      </c>
    </row>
    <row r="404" spans="1:38" ht="43.5">
      <c r="A404" s="4" t="s">
        <v>50</v>
      </c>
      <c r="B404" s="4">
        <v>24</v>
      </c>
      <c r="C404" s="4">
        <v>48</v>
      </c>
      <c r="D404" s="6" t="s">
        <v>895</v>
      </c>
      <c r="E404" s="4" t="s">
        <v>228</v>
      </c>
      <c r="F404" s="4" t="str" cm="1">
        <f t="array" ref="F404">_xlfn.IFS(
  E404="Mahuva", "Mahuva",
  E404="Jesar", "Mahuva",
  E404="Palitana", "Palitana",
  E404="Gariyadhar", "Palitana",
  E404="Talaja", "Talaja",
  E404="Vallabhipur", "Vallabhipur",
  E404="Umrala", "Vallabhipur",
  E404="Shihor", "Shihor",
  E404="Ghogha", "Bhavnagar",
  E404="Bhavnagar", "Bhavnagar"
)</f>
        <v>Mahuva</v>
      </c>
      <c r="G404" s="4" t="s">
        <v>206</v>
      </c>
      <c r="H404" s="4">
        <v>253579</v>
      </c>
      <c r="I404" s="4">
        <v>1</v>
      </c>
      <c r="J404" s="5">
        <v>46004</v>
      </c>
      <c r="K404" s="5">
        <v>46013</v>
      </c>
      <c r="L404" s="5">
        <v>46014</v>
      </c>
      <c r="M404" s="7">
        <v>3343492.09</v>
      </c>
      <c r="N404" s="7">
        <v>3048930.44</v>
      </c>
      <c r="O404" s="8">
        <v>-8.81</v>
      </c>
      <c r="P404" s="8" t="str">
        <f>IF(O404&lt;0,"Below",IF(O404&gt;0,"Above","Equals"))</f>
        <v>Below</v>
      </c>
      <c r="Q404" s="4" t="s">
        <v>779</v>
      </c>
      <c r="R404" s="5"/>
      <c r="S404" s="15"/>
      <c r="U404" s="12">
        <v>4</v>
      </c>
      <c r="V404" s="4">
        <v>1852</v>
      </c>
      <c r="W404" s="14">
        <v>46020</v>
      </c>
      <c r="X404" s="4"/>
      <c r="Y404" s="13"/>
      <c r="Z404" s="13"/>
      <c r="AA404" s="4"/>
      <c r="AB404" s="4"/>
      <c r="AD404" s="9"/>
      <c r="AE404" s="5"/>
      <c r="AF404" s="11"/>
      <c r="AG404" s="11"/>
      <c r="AI404" s="9"/>
      <c r="AJ404" s="11"/>
      <c r="AK404" s="4">
        <v>133</v>
      </c>
      <c r="AL404" s="14">
        <v>46056</v>
      </c>
    </row>
    <row r="405" spans="1:38" ht="43.5">
      <c r="A405" s="4" t="s">
        <v>50</v>
      </c>
      <c r="B405" s="4">
        <v>24</v>
      </c>
      <c r="C405" s="4">
        <v>49</v>
      </c>
      <c r="D405" s="6" t="s">
        <v>896</v>
      </c>
      <c r="E405" s="4" t="s">
        <v>228</v>
      </c>
      <c r="F405" s="4" t="str" cm="1">
        <f t="array" ref="F405">_xlfn.IFS(
  E405="Mahuva", "Mahuva",
  E405="Jesar", "Mahuva",
  E405="Palitana", "Palitana",
  E405="Gariyadhar", "Palitana",
  E405="Talaja", "Talaja",
  E405="Vallabhipur", "Vallabhipur",
  E405="Umrala", "Vallabhipur",
  E405="Shihor", "Shihor",
  E405="Ghogha", "Bhavnagar",
  E405="Bhavnagar", "Bhavnagar"
)</f>
        <v>Mahuva</v>
      </c>
      <c r="G405" s="4" t="s">
        <v>206</v>
      </c>
      <c r="H405" s="4">
        <v>253565</v>
      </c>
      <c r="I405" s="4">
        <v>1</v>
      </c>
      <c r="J405" s="5">
        <v>46004</v>
      </c>
      <c r="K405" s="5">
        <v>46013</v>
      </c>
      <c r="L405" s="5">
        <v>46014</v>
      </c>
      <c r="M405" s="7">
        <v>2079935.15</v>
      </c>
      <c r="N405" s="7">
        <v>1927475.9</v>
      </c>
      <c r="O405" s="8">
        <v>-7.33</v>
      </c>
      <c r="P405" s="8" t="str">
        <f>IF(O405&lt;0,"Below",IF(O405&gt;0,"Above","Equals"))</f>
        <v>Below</v>
      </c>
      <c r="Q405" s="4" t="s">
        <v>779</v>
      </c>
      <c r="R405" s="5"/>
      <c r="S405" s="15"/>
      <c r="U405" s="12">
        <v>4</v>
      </c>
      <c r="V405" s="4">
        <v>1853</v>
      </c>
      <c r="W405" s="14">
        <v>46020</v>
      </c>
      <c r="X405" s="4" t="s">
        <v>50</v>
      </c>
      <c r="Y405" s="13">
        <v>271</v>
      </c>
      <c r="Z405" s="26">
        <v>46042</v>
      </c>
      <c r="AA405" s="4" t="s">
        <v>299</v>
      </c>
      <c r="AB405" s="4" t="s">
        <v>312</v>
      </c>
      <c r="AC405" s="33">
        <v>44818379275</v>
      </c>
      <c r="AD405" s="9">
        <v>97000</v>
      </c>
      <c r="AE405" s="5">
        <v>46031</v>
      </c>
      <c r="AF405" s="11"/>
      <c r="AG405" s="11"/>
      <c r="AI405" s="9"/>
      <c r="AJ405" s="11"/>
      <c r="AK405" s="4">
        <v>65</v>
      </c>
      <c r="AL405" s="14">
        <v>46042</v>
      </c>
    </row>
    <row r="406" spans="1:38" ht="43.5">
      <c r="A406" s="4" t="s">
        <v>50</v>
      </c>
      <c r="B406" s="4">
        <v>24</v>
      </c>
      <c r="C406" s="4">
        <v>50</v>
      </c>
      <c r="D406" s="6" t="s">
        <v>897</v>
      </c>
      <c r="E406" s="4" t="s">
        <v>228</v>
      </c>
      <c r="F406" s="4" t="str" cm="1">
        <f t="array" ref="F406">_xlfn.IFS(
  E406="Mahuva", "Mahuva",
  E406="Jesar", "Mahuva",
  E406="Palitana", "Palitana",
  E406="Gariyadhar", "Palitana",
  E406="Talaja", "Talaja",
  E406="Vallabhipur", "Vallabhipur",
  E406="Umrala", "Vallabhipur",
  E406="Shihor", "Shihor",
  E406="Ghogha", "Bhavnagar",
  E406="Bhavnagar", "Bhavnagar"
)</f>
        <v>Mahuva</v>
      </c>
      <c r="G406" s="4" t="s">
        <v>206</v>
      </c>
      <c r="H406" s="4">
        <v>253566</v>
      </c>
      <c r="I406" s="4">
        <v>1</v>
      </c>
      <c r="J406" s="5">
        <v>46004</v>
      </c>
      <c r="K406" s="5">
        <v>46013</v>
      </c>
      <c r="L406" s="5">
        <v>46014</v>
      </c>
      <c r="M406" s="7">
        <v>2079935.15</v>
      </c>
      <c r="N406" s="7">
        <v>1901684.71</v>
      </c>
      <c r="O406" s="8">
        <v>-8.57</v>
      </c>
      <c r="P406" s="8" t="str">
        <f>IF(O406&lt;0,"Below",IF(O406&gt;0,"Above","Equals"))</f>
        <v>Below</v>
      </c>
      <c r="Q406" s="4" t="s">
        <v>779</v>
      </c>
      <c r="R406" s="5"/>
      <c r="S406" s="15"/>
      <c r="U406" s="12">
        <v>4</v>
      </c>
      <c r="V406" s="4">
        <v>1854</v>
      </c>
      <c r="W406" s="14">
        <v>46020</v>
      </c>
      <c r="X406" s="4" t="s">
        <v>50</v>
      </c>
      <c r="Y406" s="13">
        <v>272</v>
      </c>
      <c r="Z406" s="26">
        <v>46042</v>
      </c>
      <c r="AA406" s="4" t="s">
        <v>299</v>
      </c>
      <c r="AB406" s="4" t="s">
        <v>312</v>
      </c>
      <c r="AC406" s="33">
        <v>44818375974</v>
      </c>
      <c r="AD406" s="9">
        <v>96000</v>
      </c>
      <c r="AE406" s="5">
        <v>46031</v>
      </c>
      <c r="AF406" s="11"/>
      <c r="AG406" s="11"/>
      <c r="AI406" s="9"/>
      <c r="AJ406" s="11"/>
      <c r="AK406" s="4">
        <v>66</v>
      </c>
      <c r="AL406" s="14">
        <v>46042</v>
      </c>
    </row>
    <row r="407" spans="1:38" ht="43.5">
      <c r="A407" s="4" t="s">
        <v>50</v>
      </c>
      <c r="B407" s="4">
        <v>24</v>
      </c>
      <c r="C407" s="4">
        <v>51</v>
      </c>
      <c r="D407" s="6" t="s">
        <v>898</v>
      </c>
      <c r="E407" s="4" t="s">
        <v>2</v>
      </c>
      <c r="F407" s="4" t="str" cm="1">
        <f t="array" ref="F407">_xlfn.IFS(
  E407="Mahuva", "Mahuva",
  E407="Jesar", "Mahuva",
  E407="Palitana", "Palitana",
  E407="Gariyadhar", "Palitana",
  E407="Talaja", "Talaja",
  E407="Vallabhipur", "Vallabhipur",
  E407="Umrala", "Vallabhipur",
  E407="Shihor", "Shihor",
  E407="Ghogha", "Bhavnagar",
  E407="Bhavnagar", "Bhavnagar"
)</f>
        <v>Palitana</v>
      </c>
      <c r="G407" s="4" t="s">
        <v>206</v>
      </c>
      <c r="H407" s="4">
        <v>253567</v>
      </c>
      <c r="I407" s="4">
        <v>1</v>
      </c>
      <c r="J407" s="5">
        <v>46004</v>
      </c>
      <c r="K407" s="5">
        <v>46013</v>
      </c>
      <c r="L407" s="5">
        <v>46014</v>
      </c>
      <c r="M407" s="7">
        <v>2079935.15</v>
      </c>
      <c r="N407" s="7">
        <v>1788744.23</v>
      </c>
      <c r="O407" s="8">
        <v>-14</v>
      </c>
      <c r="P407" s="8" t="str">
        <f>IF(O407&lt;0,"Below",IF(O407&gt;0,"Above","Equals"))</f>
        <v>Below</v>
      </c>
      <c r="Q407" s="4" t="s">
        <v>331</v>
      </c>
      <c r="R407" s="5"/>
      <c r="S407" s="15"/>
      <c r="U407" s="12">
        <v>4</v>
      </c>
      <c r="V407" s="4">
        <v>1855</v>
      </c>
      <c r="W407" s="14">
        <v>46020</v>
      </c>
      <c r="X407" s="4" t="s">
        <v>50</v>
      </c>
      <c r="Y407" s="13">
        <v>266</v>
      </c>
      <c r="Z407" s="26">
        <v>46042</v>
      </c>
      <c r="AA407" s="4" t="s">
        <v>299</v>
      </c>
      <c r="AB407" s="4" t="s">
        <v>725</v>
      </c>
      <c r="AC407" s="33" t="s">
        <v>955</v>
      </c>
      <c r="AD407" s="9">
        <v>90000</v>
      </c>
      <c r="AE407" s="5">
        <v>46023</v>
      </c>
      <c r="AF407" s="4" t="s">
        <v>299</v>
      </c>
      <c r="AG407" s="4" t="s">
        <v>725</v>
      </c>
      <c r="AH407" s="33" t="s">
        <v>956</v>
      </c>
      <c r="AI407" s="9">
        <v>17000</v>
      </c>
      <c r="AJ407" s="5">
        <v>46023</v>
      </c>
      <c r="AK407" s="4">
        <v>60</v>
      </c>
      <c r="AL407" s="14">
        <v>46042</v>
      </c>
    </row>
    <row r="408" spans="1:38" ht="43.5">
      <c r="A408" s="4" t="s">
        <v>50</v>
      </c>
      <c r="B408" s="4">
        <v>24</v>
      </c>
      <c r="C408" s="4">
        <v>52</v>
      </c>
      <c r="D408" s="6" t="s">
        <v>899</v>
      </c>
      <c r="E408" s="4" t="s">
        <v>2</v>
      </c>
      <c r="F408" s="4" t="str" cm="1">
        <f t="array" ref="F408">_xlfn.IFS(
  E408="Mahuva", "Mahuva",
  E408="Jesar", "Mahuva",
  E408="Palitana", "Palitana",
  E408="Gariyadhar", "Palitana",
  E408="Talaja", "Talaja",
  E408="Vallabhipur", "Vallabhipur",
  E408="Umrala", "Vallabhipur",
  E408="Shihor", "Shihor",
  E408="Ghogha", "Bhavnagar",
  E408="Bhavnagar", "Bhavnagar"
)</f>
        <v>Palitana</v>
      </c>
      <c r="G408" s="4" t="s">
        <v>206</v>
      </c>
      <c r="H408" s="4">
        <v>253568</v>
      </c>
      <c r="I408" s="4">
        <v>1</v>
      </c>
      <c r="J408" s="5">
        <v>46004</v>
      </c>
      <c r="K408" s="5">
        <v>46013</v>
      </c>
      <c r="L408" s="5">
        <v>46014</v>
      </c>
      <c r="M408" s="7">
        <v>2079935.15</v>
      </c>
      <c r="N408" s="7">
        <v>1788744.23</v>
      </c>
      <c r="O408" s="8">
        <v>-14</v>
      </c>
      <c r="P408" s="8" t="str">
        <f>IF(O408&lt;0,"Below",IF(O408&gt;0,"Above","Equals"))</f>
        <v>Below</v>
      </c>
      <c r="Q408" s="4" t="s">
        <v>331</v>
      </c>
      <c r="R408" s="5"/>
      <c r="S408" s="15"/>
      <c r="U408" s="12">
        <v>4</v>
      </c>
      <c r="V408" s="4">
        <v>1856</v>
      </c>
      <c r="W408" s="14">
        <v>46020</v>
      </c>
      <c r="X408" s="4" t="s">
        <v>50</v>
      </c>
      <c r="Y408" s="13">
        <v>286</v>
      </c>
      <c r="Z408" s="26">
        <v>46045</v>
      </c>
      <c r="AA408" s="4" t="s">
        <v>299</v>
      </c>
      <c r="AB408" s="4" t="s">
        <v>725</v>
      </c>
      <c r="AC408" s="33" t="s">
        <v>969</v>
      </c>
      <c r="AD408" s="9">
        <v>90000</v>
      </c>
      <c r="AE408" s="5">
        <v>46023</v>
      </c>
      <c r="AF408" s="4" t="s">
        <v>299</v>
      </c>
      <c r="AG408" s="4" t="s">
        <v>725</v>
      </c>
      <c r="AH408" s="33" t="s">
        <v>970</v>
      </c>
      <c r="AI408" s="9">
        <v>17000</v>
      </c>
      <c r="AJ408" s="5">
        <v>46023</v>
      </c>
      <c r="AK408" s="4">
        <v>84</v>
      </c>
      <c r="AL408" s="14">
        <v>46045</v>
      </c>
    </row>
    <row r="409" spans="1:38" ht="43.5">
      <c r="A409" s="4" t="s">
        <v>50</v>
      </c>
      <c r="B409" s="4">
        <v>24</v>
      </c>
      <c r="C409" s="4">
        <v>53</v>
      </c>
      <c r="D409" s="6" t="s">
        <v>931</v>
      </c>
      <c r="E409" s="4"/>
      <c r="F409" s="4" t="e" cm="1">
        <f t="array" ref="F409">_xlfn.IFS(
  E409="Mahuva", "Mahuva",
  E409="Jesar", "Mahuva",
  E409="Palitana", "Palitana",
  E409="Gariyadhar", "Palitana",
  E409="Talaja", "Talaja",
  E409="Vallabhipur", "Vallabhipur",
  E409="Umrala", "Vallabhipur",
  E409="Shihor", "Shihor",
  E409="Ghogha", "Bhavnagar",
  E409="Bhavnagar", "Bhavnagar"
)</f>
        <v>#N/A</v>
      </c>
      <c r="G409" s="4" t="s">
        <v>206</v>
      </c>
      <c r="H409" s="4">
        <v>253604</v>
      </c>
      <c r="I409" s="4">
        <v>1</v>
      </c>
      <c r="J409" s="5">
        <v>46004</v>
      </c>
      <c r="K409" s="5">
        <v>46013</v>
      </c>
      <c r="L409" s="5">
        <v>46014</v>
      </c>
      <c r="O409" s="8"/>
      <c r="P409" s="8" t="str">
        <f>IF(O409&lt;0,"Below",IF(O409&gt;0,"Above","Equals"))</f>
        <v>Equals</v>
      </c>
      <c r="R409" s="5"/>
      <c r="S409" s="15"/>
      <c r="U409" s="12">
        <v>4</v>
      </c>
      <c r="V409" s="4"/>
      <c r="X409" s="4"/>
      <c r="Y409" s="13"/>
      <c r="Z409" s="13"/>
      <c r="AA409" s="4"/>
      <c r="AB409" s="4"/>
      <c r="AD409" s="9"/>
      <c r="AE409" s="5"/>
      <c r="AF409" s="11"/>
      <c r="AG409" s="11"/>
      <c r="AI409" s="9"/>
      <c r="AJ409" s="11"/>
      <c r="AK409" s="4"/>
    </row>
    <row r="410" spans="1:38" ht="43.5">
      <c r="A410" s="4" t="s">
        <v>50</v>
      </c>
      <c r="B410" s="4">
        <v>24</v>
      </c>
      <c r="C410" s="4">
        <v>54</v>
      </c>
      <c r="D410" s="6" t="s">
        <v>900</v>
      </c>
      <c r="E410" s="4"/>
      <c r="F410" s="4" t="e" cm="1">
        <f t="array" ref="F410">_xlfn.IFS(
  E410="Mahuva", "Mahuva",
  E410="Jesar", "Mahuva",
  E410="Palitana", "Palitana",
  E410="Gariyadhar", "Palitana",
  E410="Talaja", "Talaja",
  E410="Vallabhipur", "Vallabhipur",
  E410="Umrala", "Vallabhipur",
  E410="Shihor", "Shihor",
  E410="Ghogha", "Bhavnagar",
  E410="Bhavnagar", "Bhavnagar"
)</f>
        <v>#N/A</v>
      </c>
      <c r="G410" s="4" t="s">
        <v>206</v>
      </c>
      <c r="H410" s="4">
        <v>253605</v>
      </c>
      <c r="I410" s="4">
        <v>1</v>
      </c>
      <c r="J410" s="5">
        <v>46004</v>
      </c>
      <c r="K410" s="5">
        <v>46013</v>
      </c>
      <c r="L410" s="5">
        <v>46014</v>
      </c>
      <c r="M410" s="7">
        <v>2067497.06</v>
      </c>
      <c r="N410" s="7">
        <v>1767709.99</v>
      </c>
      <c r="O410" s="8">
        <v>-14.5</v>
      </c>
      <c r="P410" s="8" t="str">
        <f>IF(O410&lt;0,"Below",IF(O410&gt;0,"Above","Equals"))</f>
        <v>Below</v>
      </c>
      <c r="Q410" s="4" t="s">
        <v>331</v>
      </c>
      <c r="R410" s="5"/>
      <c r="S410" s="15"/>
      <c r="U410" s="12">
        <v>4</v>
      </c>
      <c r="V410" s="4">
        <v>1858</v>
      </c>
      <c r="W410" s="14">
        <v>46020</v>
      </c>
      <c r="X410" s="4" t="s">
        <v>50</v>
      </c>
      <c r="Y410" s="13">
        <v>267</v>
      </c>
      <c r="Z410" s="26">
        <v>46042</v>
      </c>
      <c r="AA410" s="4" t="s">
        <v>299</v>
      </c>
      <c r="AB410" s="4" t="s">
        <v>725</v>
      </c>
      <c r="AC410" s="33" t="s">
        <v>957</v>
      </c>
      <c r="AD410" s="9">
        <v>89000</v>
      </c>
      <c r="AE410" s="5">
        <v>46023</v>
      </c>
      <c r="AF410" s="4" t="s">
        <v>299</v>
      </c>
      <c r="AG410" s="4" t="s">
        <v>725</v>
      </c>
      <c r="AH410" s="33" t="s">
        <v>958</v>
      </c>
      <c r="AI410" s="9">
        <v>19000</v>
      </c>
      <c r="AJ410" s="5">
        <v>46023</v>
      </c>
      <c r="AK410" s="4">
        <v>62</v>
      </c>
      <c r="AL410" s="14">
        <v>46042</v>
      </c>
    </row>
    <row r="411" spans="1:38" ht="43.5">
      <c r="A411" s="4" t="s">
        <v>50</v>
      </c>
      <c r="B411" s="4">
        <v>24</v>
      </c>
      <c r="C411" s="4">
        <v>55</v>
      </c>
      <c r="D411" s="6" t="s">
        <v>901</v>
      </c>
      <c r="E411" s="4"/>
      <c r="F411" s="4" t="e" cm="1">
        <f t="array" ref="F411">_xlfn.IFS(
  E411="Mahuva", "Mahuva",
  E411="Jesar", "Mahuva",
  E411="Palitana", "Palitana",
  E411="Gariyadhar", "Palitana",
  E411="Talaja", "Talaja",
  E411="Vallabhipur", "Vallabhipur",
  E411="Umrala", "Vallabhipur",
  E411="Shihor", "Shihor",
  E411="Ghogha", "Bhavnagar",
  E411="Bhavnagar", "Bhavnagar"
)</f>
        <v>#N/A</v>
      </c>
      <c r="G411" s="4" t="s">
        <v>206</v>
      </c>
      <c r="H411" s="4">
        <v>253606</v>
      </c>
      <c r="I411" s="4">
        <v>1</v>
      </c>
      <c r="J411" s="5">
        <v>46004</v>
      </c>
      <c r="K411" s="5">
        <v>46013</v>
      </c>
      <c r="L411" s="5">
        <v>46014</v>
      </c>
      <c r="M411" s="7">
        <v>2067497.06</v>
      </c>
      <c r="N411" s="7">
        <v>1833869.89</v>
      </c>
      <c r="O411" s="8">
        <v>-11.3</v>
      </c>
      <c r="P411" s="8" t="str">
        <f>IF(O411&lt;0,"Below",IF(O411&gt;0,"Above","Equals"))</f>
        <v>Below</v>
      </c>
      <c r="Q411" s="4" t="s">
        <v>852</v>
      </c>
      <c r="R411" s="5"/>
      <c r="S411" s="15"/>
      <c r="U411" s="12">
        <v>4</v>
      </c>
      <c r="V411" s="4">
        <v>1859</v>
      </c>
      <c r="W411" s="14">
        <v>46020</v>
      </c>
      <c r="X411" s="4" t="s">
        <v>50</v>
      </c>
      <c r="Y411" s="13">
        <v>316</v>
      </c>
      <c r="Z411" s="26">
        <v>46071</v>
      </c>
      <c r="AA411" s="4" t="s">
        <v>299</v>
      </c>
      <c r="AB411" s="4" t="s">
        <v>312</v>
      </c>
      <c r="AC411" s="33">
        <v>44797238542</v>
      </c>
      <c r="AD411" s="9">
        <v>92000</v>
      </c>
      <c r="AE411" s="5">
        <v>46025</v>
      </c>
      <c r="AF411" s="4" t="s">
        <v>299</v>
      </c>
      <c r="AG411" s="4" t="s">
        <v>312</v>
      </c>
      <c r="AH411" s="33">
        <v>44900561422</v>
      </c>
      <c r="AI411" s="9">
        <v>6000</v>
      </c>
      <c r="AJ411" s="5">
        <v>46060</v>
      </c>
      <c r="AK411" s="4">
        <v>287</v>
      </c>
      <c r="AL411" s="14">
        <v>46071</v>
      </c>
    </row>
    <row r="412" spans="1:38" ht="43.5">
      <c r="A412" s="4" t="s">
        <v>50</v>
      </c>
      <c r="B412" s="4">
        <v>24</v>
      </c>
      <c r="C412" s="4">
        <v>56</v>
      </c>
      <c r="D412" s="6" t="s">
        <v>902</v>
      </c>
      <c r="E412" s="4" t="s">
        <v>207</v>
      </c>
      <c r="F412" s="4" t="str" cm="1">
        <f t="array" ref="F412">_xlfn.IFS(
  E412="Mahuva", "Mahuva",
  E412="Jesar", "Mahuva",
  E412="Palitana", "Palitana",
  E412="Gariyadhar", "Palitana",
  E412="Talaja", "Talaja",
  E412="Vallabhipur", "Vallabhipur",
  E412="Umrala", "Vallabhipur",
  E412="Shihor", "Shihor",
  E412="Ghogha", "Bhavnagar",
  E412="Bhavnagar", "Bhavnagar"
)</f>
        <v>Palitana</v>
      </c>
      <c r="G412" s="4" t="s">
        <v>206</v>
      </c>
      <c r="H412" s="4">
        <v>253569</v>
      </c>
      <c r="I412" s="4">
        <v>1</v>
      </c>
      <c r="J412" s="5">
        <v>46004</v>
      </c>
      <c r="K412" s="5">
        <v>46013</v>
      </c>
      <c r="L412" s="5">
        <v>46014</v>
      </c>
      <c r="M412" s="7">
        <v>2079935.15</v>
      </c>
      <c r="N412" s="7">
        <v>1869653.71</v>
      </c>
      <c r="O412" s="8">
        <v>-10.11</v>
      </c>
      <c r="P412" s="8" t="str">
        <f>IF(O412&lt;0,"Below",IF(O412&gt;0,"Above","Equals"))</f>
        <v>Below</v>
      </c>
      <c r="Q412" s="4" t="s">
        <v>340</v>
      </c>
      <c r="R412" s="5"/>
      <c r="S412" s="15"/>
      <c r="U412" s="12">
        <v>4</v>
      </c>
      <c r="V412" s="4">
        <v>1860</v>
      </c>
      <c r="W412" s="14">
        <v>46020</v>
      </c>
      <c r="X412" s="4" t="s">
        <v>50</v>
      </c>
      <c r="Y412" s="13">
        <v>314</v>
      </c>
      <c r="Z412" s="26">
        <v>46071</v>
      </c>
      <c r="AA412" s="4" t="s">
        <v>299</v>
      </c>
      <c r="AB412" s="4" t="s">
        <v>312</v>
      </c>
      <c r="AC412" s="33">
        <v>44885605592</v>
      </c>
      <c r="AD412" s="9">
        <v>94000</v>
      </c>
      <c r="AE412" s="5">
        <v>46056</v>
      </c>
      <c r="AF412" s="4" t="s">
        <v>299</v>
      </c>
      <c r="AG412" s="4" t="s">
        <v>312</v>
      </c>
      <c r="AH412" s="33">
        <v>44931094880</v>
      </c>
      <c r="AI412" s="9">
        <v>1000</v>
      </c>
      <c r="AJ412" s="5">
        <v>46071</v>
      </c>
      <c r="AK412" s="4">
        <v>285</v>
      </c>
      <c r="AL412" s="14">
        <v>46071</v>
      </c>
    </row>
    <row r="413" spans="1:38" ht="43.5">
      <c r="A413" s="4" t="s">
        <v>50</v>
      </c>
      <c r="B413" s="4">
        <v>24</v>
      </c>
      <c r="C413" s="4">
        <v>57</v>
      </c>
      <c r="D413" s="6" t="s">
        <v>1017</v>
      </c>
      <c r="E413" s="4" t="s">
        <v>207</v>
      </c>
      <c r="F413" s="4" t="str" cm="1">
        <f t="array" ref="F413">_xlfn.IFS(
  E413="Mahuva", "Mahuva",
  E413="Jesar", "Mahuva",
  E413="Palitana", "Palitana",
  E413="Gariyadhar", "Palitana",
  E413="Talaja", "Talaja",
  E413="Vallabhipur", "Vallabhipur",
  E413="Umrala", "Vallabhipur",
  E413="Shihor", "Shihor",
  E413="Ghogha", "Bhavnagar",
  E413="Bhavnagar", "Bhavnagar"
)</f>
        <v>Palitana</v>
      </c>
      <c r="G413" s="4" t="s">
        <v>206</v>
      </c>
      <c r="H413" s="4">
        <v>253607</v>
      </c>
      <c r="I413" s="4">
        <v>1</v>
      </c>
      <c r="J413" s="5">
        <v>46004</v>
      </c>
      <c r="K413" s="5">
        <v>46013</v>
      </c>
      <c r="L413" s="5">
        <v>46014</v>
      </c>
      <c r="M413" s="7">
        <v>2067497.06</v>
      </c>
      <c r="N413" s="7">
        <v>1751997.0086439999</v>
      </c>
      <c r="O413" s="8">
        <v>-15.26</v>
      </c>
      <c r="P413" s="8" t="str">
        <f>IF(O413&lt;0,"Below",IF(O413&gt;0,"Above","Equals"))</f>
        <v>Below</v>
      </c>
      <c r="Q413" s="4" t="s">
        <v>237</v>
      </c>
      <c r="R413" s="5"/>
      <c r="S413" s="15"/>
      <c r="U413" s="12">
        <v>4</v>
      </c>
      <c r="V413" s="4">
        <v>106</v>
      </c>
      <c r="W413" s="14">
        <v>46052</v>
      </c>
      <c r="X413" s="4"/>
      <c r="Y413" s="13"/>
      <c r="Z413" s="13"/>
      <c r="AA413" s="4"/>
      <c r="AB413" s="4"/>
      <c r="AD413" s="9"/>
      <c r="AE413" s="5"/>
      <c r="AF413" s="11"/>
      <c r="AG413" s="11"/>
      <c r="AI413" s="9"/>
      <c r="AJ413" s="11"/>
      <c r="AK413" s="4"/>
    </row>
    <row r="414" spans="1:38" ht="43.5">
      <c r="A414" s="4" t="s">
        <v>50</v>
      </c>
      <c r="B414" s="4">
        <v>24</v>
      </c>
      <c r="C414" s="4">
        <v>58</v>
      </c>
      <c r="D414" s="6" t="s">
        <v>903</v>
      </c>
      <c r="E414" s="4" t="s">
        <v>1</v>
      </c>
      <c r="F414" s="4" t="str" cm="1">
        <f t="array" ref="F414">_xlfn.IFS(
  E414="Mahuva", "Mahuva",
  E414="Jesar", "Mahuva",
  E414="Palitana", "Palitana",
  E414="Gariyadhar", "Palitana",
  E414="Talaja", "Talaja",
  E414="Vallabhipur", "Vallabhipur",
  E414="Umrala", "Vallabhipur",
  E414="Shihor", "Shihor",
  E414="Ghogha", "Bhavnagar",
  E414="Bhavnagar", "Bhavnagar"
)</f>
        <v>Vallabhipur</v>
      </c>
      <c r="G414" s="4" t="s">
        <v>206</v>
      </c>
      <c r="H414" s="4">
        <v>253576</v>
      </c>
      <c r="I414" s="4">
        <v>1</v>
      </c>
      <c r="J414" s="5">
        <v>46004</v>
      </c>
      <c r="K414" s="5">
        <v>46013</v>
      </c>
      <c r="L414" s="5">
        <v>46014</v>
      </c>
      <c r="M414" s="7">
        <v>2880152.67</v>
      </c>
      <c r="N414" s="7">
        <v>2448417.7799999998</v>
      </c>
      <c r="O414" s="8">
        <v>-14.99</v>
      </c>
      <c r="P414" s="8" t="str">
        <f>IF(O414&lt;0,"Below",IF(O414&gt;0,"Above","Equals"))</f>
        <v>Below</v>
      </c>
      <c r="Q414" s="4" t="s">
        <v>143</v>
      </c>
      <c r="R414" s="5"/>
      <c r="S414" s="15"/>
      <c r="U414" s="12">
        <v>4</v>
      </c>
      <c r="V414" s="4">
        <v>1862</v>
      </c>
      <c r="W414" s="14">
        <v>46020</v>
      </c>
      <c r="X414" s="4" t="s">
        <v>50</v>
      </c>
      <c r="Y414" s="13">
        <v>310</v>
      </c>
      <c r="Z414" s="26">
        <v>46070</v>
      </c>
      <c r="AA414" s="4" t="s">
        <v>299</v>
      </c>
      <c r="AB414" s="4" t="s">
        <v>312</v>
      </c>
      <c r="AC414" s="33">
        <v>44918266859</v>
      </c>
      <c r="AD414" s="9">
        <v>123000</v>
      </c>
      <c r="AE414" s="5">
        <v>46066</v>
      </c>
      <c r="AF414" s="4" t="s">
        <v>299</v>
      </c>
      <c r="AG414" s="4" t="s">
        <v>312</v>
      </c>
      <c r="AH414" s="33">
        <v>44918100610</v>
      </c>
      <c r="AI414" s="9">
        <v>29000</v>
      </c>
      <c r="AJ414" s="5">
        <v>46066</v>
      </c>
      <c r="AK414" s="4">
        <v>250</v>
      </c>
      <c r="AL414" s="14">
        <v>46070</v>
      </c>
    </row>
    <row r="415" spans="1:38" ht="43.5">
      <c r="A415" s="4" t="s">
        <v>50</v>
      </c>
      <c r="B415" s="4">
        <v>24</v>
      </c>
      <c r="C415" s="4">
        <v>59</v>
      </c>
      <c r="D415" s="6" t="s">
        <v>904</v>
      </c>
      <c r="E415" s="4" t="s">
        <v>1</v>
      </c>
      <c r="F415" s="4" t="str" cm="1">
        <f t="array" ref="F415">_xlfn.IFS(
  E415="Mahuva", "Mahuva",
  E415="Jesar", "Mahuva",
  E415="Palitana", "Palitana",
  E415="Gariyadhar", "Palitana",
  E415="Talaja", "Talaja",
  E415="Vallabhipur", "Vallabhipur",
  E415="Umrala", "Vallabhipur",
  E415="Shihor", "Shihor",
  E415="Ghogha", "Bhavnagar",
  E415="Bhavnagar", "Bhavnagar"
)</f>
        <v>Vallabhipur</v>
      </c>
      <c r="G415" s="4" t="s">
        <v>206</v>
      </c>
      <c r="H415" s="4">
        <v>253608</v>
      </c>
      <c r="I415" s="4">
        <v>1</v>
      </c>
      <c r="J415" s="5">
        <v>46004</v>
      </c>
      <c r="K415" s="5">
        <v>46013</v>
      </c>
      <c r="L415" s="5">
        <v>46014</v>
      </c>
      <c r="M415" s="7">
        <v>2067497.06</v>
      </c>
      <c r="N415" s="7">
        <v>1757579.25</v>
      </c>
      <c r="O415" s="8">
        <v>-14.99</v>
      </c>
      <c r="P415" s="8" t="str">
        <f>IF(O415&lt;0,"Below",IF(O415&gt;0,"Above","Equals"))</f>
        <v>Below</v>
      </c>
      <c r="Q415" s="4" t="s">
        <v>143</v>
      </c>
      <c r="R415" s="5"/>
      <c r="S415" s="15"/>
      <c r="U415" s="12">
        <v>4</v>
      </c>
      <c r="V415" s="4">
        <v>1863</v>
      </c>
      <c r="W415" s="14">
        <v>46020</v>
      </c>
      <c r="X415" s="4" t="s">
        <v>50</v>
      </c>
      <c r="Y415" s="13">
        <v>311</v>
      </c>
      <c r="Z415" s="26">
        <v>46070</v>
      </c>
      <c r="AA415" s="4" t="s">
        <v>299</v>
      </c>
      <c r="AB415" s="4" t="s">
        <v>312</v>
      </c>
      <c r="AC415" s="33">
        <v>44918291706</v>
      </c>
      <c r="AD415" s="9">
        <v>88000</v>
      </c>
      <c r="AE415" s="5">
        <v>46066</v>
      </c>
      <c r="AF415" s="4" t="s">
        <v>299</v>
      </c>
      <c r="AG415" s="4" t="s">
        <v>312</v>
      </c>
      <c r="AH415" s="33">
        <v>44918291343</v>
      </c>
      <c r="AI415" s="9">
        <v>21000</v>
      </c>
      <c r="AJ415" s="5">
        <v>46066</v>
      </c>
      <c r="AK415" s="4">
        <v>251</v>
      </c>
      <c r="AL415" s="14">
        <v>46070</v>
      </c>
    </row>
    <row r="416" spans="1:38" ht="43.5">
      <c r="A416" s="4" t="s">
        <v>50</v>
      </c>
      <c r="B416" s="4">
        <v>24</v>
      </c>
      <c r="C416" s="4">
        <v>60</v>
      </c>
      <c r="D416" s="6" t="s">
        <v>905</v>
      </c>
      <c r="E416" s="4" t="s">
        <v>1</v>
      </c>
      <c r="F416" s="4" t="str" cm="1">
        <f t="array" ref="F416">_xlfn.IFS(
  E416="Mahuva", "Mahuva",
  E416="Jesar", "Mahuva",
  E416="Palitana", "Palitana",
  E416="Gariyadhar", "Palitana",
  E416="Talaja", "Talaja",
  E416="Vallabhipur", "Vallabhipur",
  E416="Umrala", "Vallabhipur",
  E416="Shihor", "Shihor",
  E416="Ghogha", "Bhavnagar",
  E416="Bhavnagar", "Bhavnagar"
)</f>
        <v>Vallabhipur</v>
      </c>
      <c r="G416" s="4" t="s">
        <v>206</v>
      </c>
      <c r="H416" s="4">
        <v>253609</v>
      </c>
      <c r="I416" s="4">
        <v>1</v>
      </c>
      <c r="J416" s="5">
        <v>46004</v>
      </c>
      <c r="K416" s="5">
        <v>46013</v>
      </c>
      <c r="L416" s="5">
        <v>46014</v>
      </c>
      <c r="M416" s="7">
        <v>2067497.06</v>
      </c>
      <c r="N416" s="7">
        <v>1757579.25</v>
      </c>
      <c r="O416" s="8">
        <v>-14.99</v>
      </c>
      <c r="P416" s="8" t="str">
        <f>IF(O416&lt;0,"Below",IF(O416&gt;0,"Above","Equals"))</f>
        <v>Below</v>
      </c>
      <c r="Q416" s="4" t="s">
        <v>143</v>
      </c>
      <c r="R416" s="5"/>
      <c r="S416" s="15"/>
      <c r="U416" s="12">
        <v>4</v>
      </c>
      <c r="V416" s="4">
        <v>1864</v>
      </c>
      <c r="W416" s="14">
        <v>46020</v>
      </c>
      <c r="X416" s="4" t="s">
        <v>50</v>
      </c>
      <c r="Y416" s="13">
        <v>312</v>
      </c>
      <c r="Z416" s="26">
        <v>46070</v>
      </c>
      <c r="AA416" s="4" t="s">
        <v>299</v>
      </c>
      <c r="AB416" s="4" t="s">
        <v>312</v>
      </c>
      <c r="AC416" s="33">
        <v>44918129889</v>
      </c>
      <c r="AD416" s="9">
        <v>88000</v>
      </c>
      <c r="AE416" s="5">
        <v>46066</v>
      </c>
      <c r="AF416" s="4" t="s">
        <v>299</v>
      </c>
      <c r="AG416" s="4" t="s">
        <v>312</v>
      </c>
      <c r="AH416" s="33">
        <v>44918101148</v>
      </c>
      <c r="AI416" s="9">
        <v>21000</v>
      </c>
      <c r="AJ416" s="5">
        <v>46066</v>
      </c>
      <c r="AK416" s="4">
        <v>252</v>
      </c>
      <c r="AL416" s="14">
        <v>46070</v>
      </c>
    </row>
    <row r="417" spans="1:38" ht="43.5">
      <c r="A417" s="4" t="s">
        <v>50</v>
      </c>
      <c r="B417" s="4">
        <v>24</v>
      </c>
      <c r="C417" s="4">
        <v>61</v>
      </c>
      <c r="D417" s="6" t="s">
        <v>906</v>
      </c>
      <c r="E417" s="4" t="s">
        <v>1</v>
      </c>
      <c r="F417" s="4" t="str" cm="1">
        <f t="array" ref="F417">_xlfn.IFS(
  E417="Mahuva", "Mahuva",
  E417="Jesar", "Mahuva",
  E417="Palitana", "Palitana",
  E417="Gariyadhar", "Palitana",
  E417="Talaja", "Talaja",
  E417="Vallabhipur", "Vallabhipur",
  E417="Umrala", "Vallabhipur",
  E417="Shihor", "Shihor",
  E417="Ghogha", "Bhavnagar",
  E417="Bhavnagar", "Bhavnagar"
)</f>
        <v>Vallabhipur</v>
      </c>
      <c r="G417" s="4" t="s">
        <v>206</v>
      </c>
      <c r="H417" s="4">
        <v>253610</v>
      </c>
      <c r="I417" s="4">
        <v>1</v>
      </c>
      <c r="J417" s="5">
        <v>46004</v>
      </c>
      <c r="K417" s="5">
        <v>46013</v>
      </c>
      <c r="L417" s="5">
        <v>46014</v>
      </c>
      <c r="M417" s="7">
        <v>2067497.06</v>
      </c>
      <c r="N417" s="7">
        <v>1757579.25</v>
      </c>
      <c r="O417" s="8">
        <v>-14.99</v>
      </c>
      <c r="P417" s="8" t="str">
        <f>IF(O417&lt;0,"Below",IF(O417&gt;0,"Above","Equals"))</f>
        <v>Below</v>
      </c>
      <c r="Q417" s="4" t="s">
        <v>143</v>
      </c>
      <c r="R417" s="5"/>
      <c r="S417" s="15"/>
      <c r="U417" s="12">
        <v>4</v>
      </c>
      <c r="V417" s="4">
        <v>1865</v>
      </c>
      <c r="W417" s="14">
        <v>46020</v>
      </c>
      <c r="X417" s="4" t="s">
        <v>50</v>
      </c>
      <c r="Y417" s="13">
        <v>313</v>
      </c>
      <c r="Z417" s="26">
        <v>46070</v>
      </c>
      <c r="AA417" s="4" t="s">
        <v>299</v>
      </c>
      <c r="AB417" s="4" t="s">
        <v>312</v>
      </c>
      <c r="AC417" s="33">
        <v>44918291489</v>
      </c>
      <c r="AD417" s="9">
        <v>88000</v>
      </c>
      <c r="AE417" s="5">
        <v>46066</v>
      </c>
      <c r="AF417" s="4" t="s">
        <v>299</v>
      </c>
      <c r="AG417" s="4" t="s">
        <v>312</v>
      </c>
      <c r="AH417" s="33">
        <v>44918267875</v>
      </c>
      <c r="AI417" s="9">
        <v>21000</v>
      </c>
      <c r="AJ417" s="5">
        <v>46066</v>
      </c>
      <c r="AK417" s="4">
        <v>253</v>
      </c>
      <c r="AL417" s="14">
        <v>46070</v>
      </c>
    </row>
    <row r="418" spans="1:38" ht="43.5">
      <c r="A418" s="4" t="s">
        <v>50</v>
      </c>
      <c r="B418" s="4">
        <v>24</v>
      </c>
      <c r="C418" s="4">
        <v>62</v>
      </c>
      <c r="D418" s="6" t="s">
        <v>907</v>
      </c>
      <c r="E418" s="4" t="s">
        <v>0</v>
      </c>
      <c r="F418" s="4" t="str" cm="1">
        <f t="array" ref="F418">_xlfn.IFS(
  E418="Mahuva", "Mahuva",
  E418="Jesar", "Mahuva",
  E418="Palitana", "Palitana",
  E418="Gariyadhar", "Palitana",
  E418="Talaja", "Talaja",
  E418="Vallabhipur", "Vallabhipur",
  E418="Umrala", "Vallabhipur",
  E418="Shihor", "Shihor",
  E418="Ghogha", "Bhavnagar",
  E418="Bhavnagar", "Bhavnagar"
)</f>
        <v>Bhavnagar</v>
      </c>
      <c r="G418" s="4" t="s">
        <v>206</v>
      </c>
      <c r="H418" s="4">
        <v>253618</v>
      </c>
      <c r="I418" s="4">
        <v>1</v>
      </c>
      <c r="J418" s="5">
        <v>46004</v>
      </c>
      <c r="K418" s="5">
        <v>46013</v>
      </c>
      <c r="L418" s="5">
        <v>46014</v>
      </c>
      <c r="M418" s="7">
        <v>2067497.06</v>
      </c>
      <c r="N418" s="7">
        <v>1942826.99</v>
      </c>
      <c r="O418" s="8">
        <v>-6.03</v>
      </c>
      <c r="P418" s="8" t="str">
        <f>IF(O418&lt;0,"Below",IF(O418&gt;0,"Above","Equals"))</f>
        <v>Below</v>
      </c>
      <c r="Q418" s="4" t="s">
        <v>849</v>
      </c>
      <c r="R418" s="5"/>
      <c r="S418" s="15"/>
      <c r="U418" s="12">
        <v>4</v>
      </c>
      <c r="V418" s="4">
        <v>1866</v>
      </c>
      <c r="W418" s="14">
        <v>46020</v>
      </c>
      <c r="X418" s="4"/>
      <c r="Y418" s="13"/>
      <c r="Z418" s="13"/>
      <c r="AA418" s="4"/>
      <c r="AB418" s="4"/>
      <c r="AD418" s="9"/>
      <c r="AE418" s="5"/>
      <c r="AF418" s="11"/>
      <c r="AG418" s="11"/>
      <c r="AI418" s="9"/>
      <c r="AJ418" s="11"/>
      <c r="AK418" s="4"/>
    </row>
    <row r="419" spans="1:38" ht="72.5">
      <c r="A419" s="4" t="s">
        <v>50</v>
      </c>
      <c r="B419" s="4">
        <v>24</v>
      </c>
      <c r="C419" s="4">
        <v>63</v>
      </c>
      <c r="D419" s="6" t="s">
        <v>908</v>
      </c>
      <c r="E419" s="4" t="s">
        <v>0</v>
      </c>
      <c r="F419" s="4" t="str" cm="1">
        <f t="array" ref="F419">_xlfn.IFS(
  E419="Mahuva", "Mahuva",
  E419="Jesar", "Mahuva",
  E419="Palitana", "Palitana",
  E419="Gariyadhar", "Palitana",
  E419="Talaja", "Talaja",
  E419="Vallabhipur", "Vallabhipur",
  E419="Umrala", "Vallabhipur",
  E419="Shihor", "Shihor",
  E419="Ghogha", "Bhavnagar",
  E419="Bhavnagar", "Bhavnagar"
)</f>
        <v>Bhavnagar</v>
      </c>
      <c r="G419" s="4" t="s">
        <v>206</v>
      </c>
      <c r="H419" s="4">
        <v>253619</v>
      </c>
      <c r="I419" s="4">
        <v>1</v>
      </c>
      <c r="J419" s="5">
        <v>46004</v>
      </c>
      <c r="K419" s="5">
        <v>46013</v>
      </c>
      <c r="L419" s="5">
        <v>46014</v>
      </c>
      <c r="M419" s="7">
        <v>2067497.06</v>
      </c>
      <c r="N419" s="7">
        <v>1994100.91</v>
      </c>
      <c r="O419" s="8">
        <v>-3.55</v>
      </c>
      <c r="P419" s="8" t="str">
        <f>IF(O419&lt;0,"Below",IF(O419&gt;0,"Above","Equals"))</f>
        <v>Below</v>
      </c>
      <c r="Q419" s="4" t="s">
        <v>339</v>
      </c>
      <c r="R419" s="5"/>
      <c r="S419" s="15"/>
      <c r="U419" s="12">
        <v>4</v>
      </c>
      <c r="V419" s="4">
        <v>249</v>
      </c>
      <c r="W419" s="14">
        <v>46070</v>
      </c>
      <c r="X419" s="4" t="s">
        <v>50</v>
      </c>
      <c r="Y419" s="13">
        <v>330</v>
      </c>
      <c r="Z419" s="14">
        <v>46088</v>
      </c>
      <c r="AA419" s="4" t="s">
        <v>299</v>
      </c>
      <c r="AB419" s="4" t="s">
        <v>642</v>
      </c>
      <c r="AC419" s="33" t="s">
        <v>1053</v>
      </c>
      <c r="AD419" s="9">
        <v>100000</v>
      </c>
      <c r="AE419" s="5">
        <v>46072</v>
      </c>
      <c r="AF419" s="11"/>
      <c r="AG419" s="11"/>
      <c r="AI419" s="9"/>
      <c r="AJ419" s="11"/>
      <c r="AK419" s="4">
        <v>334</v>
      </c>
      <c r="AL419" s="14">
        <v>46088</v>
      </c>
    </row>
    <row r="420" spans="1:38" ht="43.5">
      <c r="A420" s="4" t="s">
        <v>50</v>
      </c>
      <c r="B420" s="4">
        <v>24</v>
      </c>
      <c r="C420" s="4">
        <v>64</v>
      </c>
      <c r="D420" s="6" t="s">
        <v>909</v>
      </c>
      <c r="E420" s="4" t="s">
        <v>0</v>
      </c>
      <c r="F420" s="4" t="str" cm="1">
        <f t="array" ref="F420">_xlfn.IFS(
  E420="Mahuva", "Mahuva",
  E420="Jesar", "Mahuva",
  E420="Palitana", "Palitana",
  E420="Gariyadhar", "Palitana",
  E420="Talaja", "Talaja",
  E420="Vallabhipur", "Vallabhipur",
  E420="Umrala", "Vallabhipur",
  E420="Shihor", "Shihor",
  E420="Ghogha", "Bhavnagar",
  E420="Bhavnagar", "Bhavnagar"
)</f>
        <v>Bhavnagar</v>
      </c>
      <c r="G420" s="4" t="s">
        <v>206</v>
      </c>
      <c r="H420" s="4">
        <v>253620</v>
      </c>
      <c r="I420" s="4">
        <v>1</v>
      </c>
      <c r="J420" s="5">
        <v>46004</v>
      </c>
      <c r="K420" s="5">
        <v>46013</v>
      </c>
      <c r="L420" s="5">
        <v>46014</v>
      </c>
      <c r="M420" s="7">
        <v>2067497.06</v>
      </c>
      <c r="N420" s="7">
        <v>1961847.96</v>
      </c>
      <c r="O420" s="8">
        <v>-5.1100000000000003</v>
      </c>
      <c r="P420" s="8" t="str">
        <f>IF(O420&lt;0,"Below",IF(O420&gt;0,"Above","Equals"))</f>
        <v>Below</v>
      </c>
      <c r="Q420" s="4" t="s">
        <v>849</v>
      </c>
      <c r="R420" s="5"/>
      <c r="S420" s="15"/>
      <c r="U420" s="12">
        <v>4</v>
      </c>
      <c r="V420" s="4">
        <v>1868</v>
      </c>
      <c r="W420" s="14">
        <v>46020</v>
      </c>
      <c r="X420" s="4" t="s">
        <v>50</v>
      </c>
      <c r="Y420" s="13">
        <v>332</v>
      </c>
      <c r="Z420" s="26">
        <v>46088</v>
      </c>
      <c r="AA420" s="4" t="s">
        <v>299</v>
      </c>
      <c r="AB420" s="4" t="s">
        <v>1054</v>
      </c>
      <c r="AC420" s="33" t="s">
        <v>1056</v>
      </c>
      <c r="AD420" s="9">
        <v>99000</v>
      </c>
      <c r="AE420" s="5">
        <v>46072</v>
      </c>
      <c r="AF420" s="11"/>
      <c r="AG420" s="11"/>
      <c r="AI420" s="9"/>
      <c r="AJ420" s="11"/>
      <c r="AK420" s="4">
        <v>336</v>
      </c>
      <c r="AL420" s="14">
        <v>46088</v>
      </c>
    </row>
    <row r="421" spans="1:38" ht="43.5">
      <c r="A421" s="4" t="s">
        <v>50</v>
      </c>
      <c r="B421" s="4">
        <v>24</v>
      </c>
      <c r="C421" s="4">
        <v>65</v>
      </c>
      <c r="D421" s="6" t="s">
        <v>910</v>
      </c>
      <c r="E421" s="4" t="s">
        <v>0</v>
      </c>
      <c r="F421" s="4" t="str" cm="1">
        <f t="array" ref="F421">_xlfn.IFS(
  E421="Mahuva", "Mahuva",
  E421="Jesar", "Mahuva",
  E421="Palitana", "Palitana",
  E421="Gariyadhar", "Palitana",
  E421="Talaja", "Talaja",
  E421="Vallabhipur", "Vallabhipur",
  E421="Umrala", "Vallabhipur",
  E421="Shihor", "Shihor",
  E421="Ghogha", "Bhavnagar",
  E421="Bhavnagar", "Bhavnagar"
)</f>
        <v>Bhavnagar</v>
      </c>
      <c r="G421" s="4" t="s">
        <v>206</v>
      </c>
      <c r="H421" s="4">
        <v>253621</v>
      </c>
      <c r="I421" s="4">
        <v>1</v>
      </c>
      <c r="J421" s="5">
        <v>46004</v>
      </c>
      <c r="K421" s="5">
        <v>46013</v>
      </c>
      <c r="L421" s="5">
        <v>46014</v>
      </c>
      <c r="M421" s="7">
        <v>2067497.06</v>
      </c>
      <c r="N421" s="7">
        <v>1936624.5</v>
      </c>
      <c r="O421" s="8">
        <v>-6.33</v>
      </c>
      <c r="P421" s="8" t="str">
        <f>IF(O421&lt;0,"Below",IF(O421&gt;0,"Above","Equals"))</f>
        <v>Below</v>
      </c>
      <c r="Q421" s="4" t="s">
        <v>231</v>
      </c>
      <c r="R421" s="5"/>
      <c r="S421" s="15"/>
      <c r="U421" s="12">
        <v>4</v>
      </c>
      <c r="V421" s="4">
        <v>1869</v>
      </c>
      <c r="W421" s="14">
        <v>46020</v>
      </c>
      <c r="X421" s="4" t="s">
        <v>50</v>
      </c>
      <c r="Y421" s="13">
        <v>339</v>
      </c>
      <c r="Z421" s="26">
        <v>46101</v>
      </c>
      <c r="AA421" s="4" t="s">
        <v>299</v>
      </c>
      <c r="AB421" s="4" t="s">
        <v>312</v>
      </c>
      <c r="AC421" s="33" t="s">
        <v>1088</v>
      </c>
      <c r="AD421" s="9">
        <v>97000</v>
      </c>
      <c r="AE421" s="5">
        <v>46072</v>
      </c>
      <c r="AF421" s="11"/>
      <c r="AG421" s="11"/>
      <c r="AI421" s="9"/>
      <c r="AJ421" s="11"/>
      <c r="AK421" s="4">
        <v>377</v>
      </c>
      <c r="AL421" s="14">
        <v>45736</v>
      </c>
    </row>
    <row r="422" spans="1:38" ht="43.5">
      <c r="A422" s="4" t="s">
        <v>50</v>
      </c>
      <c r="B422" s="4">
        <v>24</v>
      </c>
      <c r="C422" s="4">
        <v>66</v>
      </c>
      <c r="D422" s="6" t="s">
        <v>911</v>
      </c>
      <c r="E422" s="4" t="s">
        <v>0</v>
      </c>
      <c r="F422" s="4" t="str" cm="1">
        <f t="array" ref="F422">_xlfn.IFS(
  E422="Mahuva", "Mahuva",
  E422="Jesar", "Mahuva",
  E422="Palitana", "Palitana",
  E422="Gariyadhar", "Palitana",
  E422="Talaja", "Talaja",
  E422="Vallabhipur", "Vallabhipur",
  E422="Umrala", "Vallabhipur",
  E422="Shihor", "Shihor",
  E422="Ghogha", "Bhavnagar",
  E422="Bhavnagar", "Bhavnagar"
)</f>
        <v>Bhavnagar</v>
      </c>
      <c r="G422" s="4" t="s">
        <v>206</v>
      </c>
      <c r="H422" s="4">
        <v>253611</v>
      </c>
      <c r="I422" s="4">
        <v>1</v>
      </c>
      <c r="J422" s="5">
        <v>46004</v>
      </c>
      <c r="K422" s="5">
        <v>46013</v>
      </c>
      <c r="L422" s="5">
        <v>46014</v>
      </c>
      <c r="M422" s="7">
        <v>2067497.06</v>
      </c>
      <c r="N422" s="7">
        <v>1942826.99</v>
      </c>
      <c r="O422" s="8">
        <v>-6.03</v>
      </c>
      <c r="P422" s="8" t="str">
        <f>IF(O422&lt;0,"Below",IF(O422&gt;0,"Above","Equals"))</f>
        <v>Below</v>
      </c>
      <c r="Q422" s="4" t="s">
        <v>849</v>
      </c>
      <c r="R422" s="5"/>
      <c r="S422" s="15"/>
      <c r="U422" s="12">
        <v>4</v>
      </c>
      <c r="V422" s="4">
        <v>1870</v>
      </c>
      <c r="W422" s="14">
        <v>46020</v>
      </c>
      <c r="X422" s="4"/>
      <c r="Y422" s="13"/>
      <c r="Z422" s="26"/>
      <c r="AA422" s="4"/>
      <c r="AB422" s="4"/>
      <c r="AD422" s="9"/>
      <c r="AE422" s="5"/>
      <c r="AF422" s="11"/>
      <c r="AG422" s="11"/>
      <c r="AI422" s="9"/>
      <c r="AJ422" s="11"/>
      <c r="AK422" s="4"/>
    </row>
    <row r="423" spans="1:38" ht="43.5">
      <c r="A423" s="4" t="s">
        <v>50</v>
      </c>
      <c r="B423" s="4">
        <v>24</v>
      </c>
      <c r="C423" s="4">
        <v>67</v>
      </c>
      <c r="D423" s="6" t="s">
        <v>912</v>
      </c>
      <c r="E423" s="4" t="s">
        <v>0</v>
      </c>
      <c r="F423" s="4" t="str" cm="1">
        <f t="array" ref="F423">_xlfn.IFS(
  E423="Mahuva", "Mahuva",
  E423="Jesar", "Mahuva",
  E423="Palitana", "Palitana",
  E423="Gariyadhar", "Palitana",
  E423="Talaja", "Talaja",
  E423="Vallabhipur", "Vallabhipur",
  E423="Umrala", "Vallabhipur",
  E423="Shihor", "Shihor",
  E423="Ghogha", "Bhavnagar",
  E423="Bhavnagar", "Bhavnagar"
)</f>
        <v>Bhavnagar</v>
      </c>
      <c r="G423" s="4" t="s">
        <v>206</v>
      </c>
      <c r="H423" s="4">
        <v>253622</v>
      </c>
      <c r="I423" s="4">
        <v>1</v>
      </c>
      <c r="J423" s="5">
        <v>46004</v>
      </c>
      <c r="K423" s="5">
        <v>46013</v>
      </c>
      <c r="L423" s="5">
        <v>46014</v>
      </c>
      <c r="M423" s="7">
        <v>2067497.06</v>
      </c>
      <c r="N423" s="7">
        <v>1922358.77</v>
      </c>
      <c r="O423" s="8">
        <v>-7.02</v>
      </c>
      <c r="P423" s="8" t="str">
        <f>IF(O423&lt;0,"Below",IF(O423&gt;0,"Above","Equals"))</f>
        <v>Below</v>
      </c>
      <c r="Q423" s="4" t="s">
        <v>853</v>
      </c>
      <c r="R423" s="5"/>
      <c r="S423" s="15"/>
      <c r="U423" s="12">
        <v>4</v>
      </c>
      <c r="V423" s="4">
        <v>1871</v>
      </c>
      <c r="W423" s="14">
        <v>46020</v>
      </c>
      <c r="X423" s="4" t="s">
        <v>50</v>
      </c>
      <c r="Y423" s="13">
        <v>335</v>
      </c>
      <c r="Z423" s="14">
        <v>46088</v>
      </c>
      <c r="AA423" s="4" t="s">
        <v>299</v>
      </c>
      <c r="AB423" s="4" t="s">
        <v>312</v>
      </c>
      <c r="AC423" s="33" t="s">
        <v>1060</v>
      </c>
      <c r="AD423" s="9">
        <v>97000</v>
      </c>
      <c r="AE423" s="5">
        <v>46065</v>
      </c>
      <c r="AF423" s="11"/>
      <c r="AG423" s="11"/>
      <c r="AI423" s="9"/>
      <c r="AJ423" s="11"/>
      <c r="AK423" s="4">
        <v>339</v>
      </c>
      <c r="AL423" s="14">
        <v>46088</v>
      </c>
    </row>
    <row r="424" spans="1:38" ht="43.5">
      <c r="A424" s="4" t="s">
        <v>50</v>
      </c>
      <c r="B424" s="4">
        <v>24</v>
      </c>
      <c r="C424" s="4">
        <v>68</v>
      </c>
      <c r="D424" s="6" t="s">
        <v>913</v>
      </c>
      <c r="E424" s="4" t="s">
        <v>11</v>
      </c>
      <c r="F424" s="4" t="str" cm="1">
        <f t="array" ref="F424">_xlfn.IFS(
  E424="Mahuva", "Mahuva",
  E424="Jesar", "Mahuva",
  E424="Palitana", "Palitana",
  E424="Gariyadhar", "Palitana",
  E424="Talaja", "Talaja",
  E424="Vallabhipur", "Vallabhipur",
  E424="Umrala", "Vallabhipur",
  E424="Shihor", "Shihor",
  E424="Ghogha", "Bhavnagar",
  E424="Bhavnagar", "Bhavnagar"
)</f>
        <v>Shihor</v>
      </c>
      <c r="G424" s="4" t="s">
        <v>206</v>
      </c>
      <c r="H424" s="4">
        <v>253612</v>
      </c>
      <c r="I424" s="4">
        <v>1</v>
      </c>
      <c r="J424" s="5">
        <v>46004</v>
      </c>
      <c r="K424" s="5">
        <v>46013</v>
      </c>
      <c r="L424" s="5">
        <v>46014</v>
      </c>
      <c r="M424" s="7">
        <v>2067497.06</v>
      </c>
      <c r="N424" s="7">
        <v>1796448.2</v>
      </c>
      <c r="O424" s="8">
        <v>-13.11</v>
      </c>
      <c r="P424" s="8" t="str">
        <f>IF(O424&lt;0,"Below",IF(O424&gt;0,"Above","Equals"))</f>
        <v>Below</v>
      </c>
      <c r="Q424" s="4" t="s">
        <v>231</v>
      </c>
      <c r="R424" s="5"/>
      <c r="S424" s="15"/>
      <c r="U424" s="12">
        <v>4</v>
      </c>
      <c r="V424" s="4">
        <v>1872</v>
      </c>
      <c r="W424" s="14">
        <v>46020</v>
      </c>
      <c r="X424" s="4" t="s">
        <v>50</v>
      </c>
      <c r="Y424" s="13">
        <v>338</v>
      </c>
      <c r="Z424" s="26">
        <v>46101</v>
      </c>
      <c r="AA424" s="4" t="s">
        <v>299</v>
      </c>
      <c r="AB424" s="4" t="s">
        <v>312</v>
      </c>
      <c r="AC424" s="33">
        <v>44676070752</v>
      </c>
      <c r="AD424" s="9">
        <v>90000</v>
      </c>
      <c r="AE424" s="5">
        <v>46042</v>
      </c>
      <c r="AF424" s="4" t="s">
        <v>299</v>
      </c>
      <c r="AG424" s="4" t="s">
        <v>312</v>
      </c>
      <c r="AH424" s="33" t="s">
        <v>1087</v>
      </c>
      <c r="AI424" s="9">
        <v>13000</v>
      </c>
      <c r="AJ424" s="5">
        <v>46072</v>
      </c>
      <c r="AK424" s="4">
        <v>376</v>
      </c>
      <c r="AL424" s="14">
        <v>45736</v>
      </c>
    </row>
    <row r="425" spans="1:38" ht="43.5">
      <c r="A425" s="4" t="s">
        <v>50</v>
      </c>
      <c r="B425" s="4">
        <v>24</v>
      </c>
      <c r="C425" s="4">
        <v>69</v>
      </c>
      <c r="D425" s="6" t="s">
        <v>914</v>
      </c>
      <c r="E425" s="4" t="s">
        <v>11</v>
      </c>
      <c r="F425" s="4" t="str" cm="1">
        <f t="array" ref="F425">_xlfn.IFS(
  E425="Mahuva", "Mahuva",
  E425="Jesar", "Mahuva",
  E425="Palitana", "Palitana",
  E425="Gariyadhar", "Palitana",
  E425="Talaja", "Talaja",
  E425="Vallabhipur", "Vallabhipur",
  E425="Umrala", "Vallabhipur",
  E425="Shihor", "Shihor",
  E425="Ghogha", "Bhavnagar",
  E425="Bhavnagar", "Bhavnagar"
)</f>
        <v>Shihor</v>
      </c>
      <c r="G425" s="4" t="s">
        <v>206</v>
      </c>
      <c r="H425" s="4">
        <v>253613</v>
      </c>
      <c r="I425" s="4">
        <v>1</v>
      </c>
      <c r="J425" s="5">
        <v>46004</v>
      </c>
      <c r="K425" s="5">
        <v>46013</v>
      </c>
      <c r="L425" s="5">
        <v>46014</v>
      </c>
      <c r="M425" s="7">
        <v>2067497.06</v>
      </c>
      <c r="N425" s="7">
        <v>1816916.42</v>
      </c>
      <c r="O425" s="8">
        <v>-12.12</v>
      </c>
      <c r="P425" s="8" t="str">
        <f>IF(O425&lt;0,"Below",IF(O425&gt;0,"Above","Equals"))</f>
        <v>Below</v>
      </c>
      <c r="Q425" s="4" t="s">
        <v>847</v>
      </c>
      <c r="R425" s="5"/>
      <c r="S425" s="15"/>
      <c r="U425" s="12">
        <v>4</v>
      </c>
      <c r="V425" s="4">
        <v>1873</v>
      </c>
      <c r="W425" s="14">
        <v>46020</v>
      </c>
      <c r="X425" s="4" t="s">
        <v>50</v>
      </c>
      <c r="Y425" s="13">
        <v>285</v>
      </c>
      <c r="Z425" s="26">
        <v>46045</v>
      </c>
      <c r="AA425" s="4" t="s">
        <v>299</v>
      </c>
      <c r="AB425" s="4" t="s">
        <v>541</v>
      </c>
      <c r="AC425" s="33" t="s">
        <v>967</v>
      </c>
      <c r="AD425" s="9">
        <v>91000</v>
      </c>
      <c r="AE425" s="5">
        <v>46025</v>
      </c>
      <c r="AF425" s="4" t="s">
        <v>299</v>
      </c>
      <c r="AG425" s="4" t="s">
        <v>541</v>
      </c>
      <c r="AH425" s="33" t="s">
        <v>968</v>
      </c>
      <c r="AI425" s="9">
        <v>9000</v>
      </c>
      <c r="AJ425" s="5">
        <v>46038</v>
      </c>
      <c r="AK425" s="4">
        <v>83</v>
      </c>
      <c r="AL425" s="14">
        <v>46045</v>
      </c>
    </row>
    <row r="426" spans="1:38" ht="43.5">
      <c r="A426" s="4" t="s">
        <v>50</v>
      </c>
      <c r="B426" s="4">
        <v>24</v>
      </c>
      <c r="C426" s="4">
        <v>70</v>
      </c>
      <c r="D426" s="6" t="s">
        <v>915</v>
      </c>
      <c r="E426" s="4" t="s">
        <v>11</v>
      </c>
      <c r="F426" s="4" t="str" cm="1">
        <f t="array" ref="F426">_xlfn.IFS(
  E426="Mahuva", "Mahuva",
  E426="Jesar", "Mahuva",
  E426="Palitana", "Palitana",
  E426="Gariyadhar", "Palitana",
  E426="Talaja", "Talaja",
  E426="Vallabhipur", "Vallabhipur",
  E426="Umrala", "Vallabhipur",
  E426="Shihor", "Shihor",
  E426="Ghogha", "Bhavnagar",
  E426="Bhavnagar", "Bhavnagar"
)</f>
        <v>Shihor</v>
      </c>
      <c r="G426" s="4" t="s">
        <v>206</v>
      </c>
      <c r="H426" s="4">
        <v>253614</v>
      </c>
      <c r="I426" s="4">
        <v>1</v>
      </c>
      <c r="J426" s="5">
        <v>46004</v>
      </c>
      <c r="K426" s="5">
        <v>46013</v>
      </c>
      <c r="L426" s="5">
        <v>46014</v>
      </c>
      <c r="M426" s="7">
        <v>2067497.06</v>
      </c>
      <c r="N426" s="7">
        <v>1891553.06</v>
      </c>
      <c r="O426" s="8">
        <v>-8.51</v>
      </c>
      <c r="P426" s="8" t="str">
        <f>IF(O426&lt;0,"Below",IF(O426&gt;0,"Above","Equals"))</f>
        <v>Below</v>
      </c>
      <c r="Q426" s="4" t="s">
        <v>248</v>
      </c>
      <c r="R426" s="5"/>
      <c r="S426" s="15"/>
      <c r="U426" s="12">
        <v>4</v>
      </c>
      <c r="V426" s="4">
        <v>1874</v>
      </c>
      <c r="W426" s="14">
        <v>46020</v>
      </c>
      <c r="X426" s="4" t="s">
        <v>50</v>
      </c>
      <c r="Y426" s="13">
        <v>343</v>
      </c>
      <c r="Z426" s="26">
        <v>46108</v>
      </c>
      <c r="AA426" s="4" t="s">
        <v>299</v>
      </c>
      <c r="AB426" s="4" t="s">
        <v>312</v>
      </c>
      <c r="AC426" s="33" t="s">
        <v>1106</v>
      </c>
      <c r="AD426" s="9">
        <v>95000</v>
      </c>
      <c r="AE426" s="5">
        <v>46086</v>
      </c>
      <c r="AF426" s="11"/>
      <c r="AG426" s="11"/>
      <c r="AI426" s="9"/>
      <c r="AJ426" s="11"/>
      <c r="AK426" s="4">
        <v>426</v>
      </c>
      <c r="AL426" s="26">
        <v>46108</v>
      </c>
    </row>
    <row r="427" spans="1:38" ht="43.5">
      <c r="A427" s="4" t="s">
        <v>50</v>
      </c>
      <c r="B427" s="4">
        <v>25</v>
      </c>
      <c r="C427" s="4">
        <v>1</v>
      </c>
      <c r="D427" s="6" t="s">
        <v>973</v>
      </c>
      <c r="E427" s="4" t="s">
        <v>10</v>
      </c>
      <c r="F427" s="4" t="str" cm="1">
        <f t="array" ref="F427">_xlfn.IFS(
  E427="Mahuva", "Mahuva",
  E427="Jesar", "Mahuva",
  E427="Palitana", "Palitana",
  E427="Gariyadhar", "Palitana",
  E427="Talaja", "Talaja",
  E427="Vallabhipur", "Vallabhipur",
  E427="Umrala", "Vallabhipur",
  E427="Shihor", "Shihor",
  E427="Ghogha", "Bhavnagar",
  E427="Bhavnagar", "Bhavnagar"
)</f>
        <v>Mahuva</v>
      </c>
      <c r="G427" s="4" t="s">
        <v>19</v>
      </c>
      <c r="I427" s="4">
        <v>4</v>
      </c>
      <c r="J427" s="5">
        <v>46004</v>
      </c>
      <c r="K427" s="5">
        <v>46013</v>
      </c>
      <c r="L427" s="5">
        <v>46014</v>
      </c>
      <c r="O427" s="8"/>
      <c r="P427" s="8" t="str">
        <f>IF(O427&lt;0,"Below",IF(O427&gt;0,"Above","Equals"))</f>
        <v>Equals</v>
      </c>
      <c r="R427" s="5"/>
      <c r="S427" s="15"/>
      <c r="U427" s="12"/>
      <c r="V427" s="4"/>
      <c r="X427" s="4"/>
      <c r="Y427" s="13"/>
      <c r="Z427" s="13"/>
      <c r="AA427" s="4"/>
      <c r="AB427" s="4"/>
      <c r="AD427" s="9"/>
      <c r="AE427" s="5"/>
      <c r="AF427" s="11"/>
      <c r="AG427" s="11"/>
      <c r="AI427" s="9"/>
      <c r="AJ427" s="11"/>
      <c r="AK427" s="4"/>
    </row>
    <row r="428" spans="1:38" ht="43.5">
      <c r="A428" s="4" t="s">
        <v>50</v>
      </c>
      <c r="B428" s="4">
        <v>25</v>
      </c>
      <c r="C428" s="4">
        <v>2</v>
      </c>
      <c r="D428" s="6" t="s">
        <v>1002</v>
      </c>
      <c r="E428" s="4" t="s">
        <v>10</v>
      </c>
      <c r="F428" s="4" t="str" cm="1">
        <f t="array" ref="F428">_xlfn.IFS(
  E428="Mahuva", "Mahuva",
  E428="Jesar", "Mahuva",
  E428="Palitana", "Palitana",
  E428="Gariyadhar", "Palitana",
  E428="Talaja", "Talaja",
  E428="Vallabhipur", "Vallabhipur",
  E428="Umrala", "Vallabhipur",
  E428="Shihor", "Shihor",
  E428="Ghogha", "Bhavnagar",
  E428="Bhavnagar", "Bhavnagar"
)</f>
        <v>Mahuva</v>
      </c>
      <c r="G428" s="4" t="s">
        <v>19</v>
      </c>
      <c r="H428" s="4">
        <v>253503</v>
      </c>
      <c r="I428" s="4">
        <v>2</v>
      </c>
      <c r="J428" s="5">
        <v>46004</v>
      </c>
      <c r="K428" s="5">
        <v>46013</v>
      </c>
      <c r="L428" s="5">
        <v>46014</v>
      </c>
      <c r="M428" s="7">
        <v>13652083.23</v>
      </c>
      <c r="N428" s="7">
        <v>11563314.5</v>
      </c>
      <c r="O428" s="8">
        <v>-15.3</v>
      </c>
      <c r="P428" s="8" t="str">
        <f>IF(O428&lt;0,"Below",IF(O428&gt;0,"Above","Equals"))</f>
        <v>Below</v>
      </c>
      <c r="Q428" s="4" t="s">
        <v>1003</v>
      </c>
      <c r="R428" s="5"/>
      <c r="S428" s="15" t="s">
        <v>1005</v>
      </c>
      <c r="T428" s="14">
        <v>46038</v>
      </c>
      <c r="U428" s="12">
        <v>6</v>
      </c>
      <c r="V428" s="4">
        <v>112</v>
      </c>
      <c r="W428" s="14">
        <v>46052</v>
      </c>
      <c r="X428" s="4" t="s">
        <v>50</v>
      </c>
      <c r="Y428" s="13">
        <v>304</v>
      </c>
      <c r="Z428" s="26">
        <v>46062</v>
      </c>
      <c r="AA428" s="4" t="s">
        <v>299</v>
      </c>
      <c r="AB428" s="4" t="s">
        <v>944</v>
      </c>
      <c r="AC428" s="33" t="s">
        <v>1011</v>
      </c>
      <c r="AD428" s="9">
        <v>579000</v>
      </c>
      <c r="AE428" s="5">
        <v>46059</v>
      </c>
      <c r="AF428" s="4" t="s">
        <v>299</v>
      </c>
      <c r="AG428" s="4" t="s">
        <v>944</v>
      </c>
      <c r="AH428" s="33" t="s">
        <v>1012</v>
      </c>
      <c r="AI428" s="9">
        <v>145000</v>
      </c>
      <c r="AJ428" s="5">
        <v>46059</v>
      </c>
      <c r="AK428" s="4">
        <v>217</v>
      </c>
      <c r="AL428" s="14">
        <v>46062</v>
      </c>
    </row>
    <row r="429" spans="1:38" ht="43.5">
      <c r="A429" s="4" t="s">
        <v>50</v>
      </c>
      <c r="B429" s="4">
        <v>25</v>
      </c>
      <c r="C429" s="4">
        <v>3</v>
      </c>
      <c r="D429" s="6" t="s">
        <v>1010</v>
      </c>
      <c r="E429" s="4" t="s">
        <v>207</v>
      </c>
      <c r="F429" s="4" t="str" cm="1">
        <f t="array" ref="F429">_xlfn.IFS(
  E429="Mahuva", "Mahuva",
  E429="Jesar", "Mahuva",
  E429="Palitana", "Palitana",
  E429="Gariyadhar", "Palitana",
  E429="Talaja", "Talaja",
  E429="Vallabhipur", "Vallabhipur",
  E429="Umrala", "Vallabhipur",
  E429="Shihor", "Shihor",
  E429="Ghogha", "Bhavnagar",
  E429="Bhavnagar", "Bhavnagar"
)</f>
        <v>Palitana</v>
      </c>
      <c r="G429" s="4" t="s">
        <v>206</v>
      </c>
      <c r="I429" s="4">
        <v>1</v>
      </c>
      <c r="J429" s="5">
        <v>46004</v>
      </c>
      <c r="K429" s="5">
        <v>46013</v>
      </c>
      <c r="L429" s="5">
        <v>46014</v>
      </c>
      <c r="O429" s="8"/>
      <c r="P429" s="8" t="str">
        <f>IF(O429&lt;0,"Below",IF(O429&gt;0,"Above","Equals"))</f>
        <v>Equals</v>
      </c>
      <c r="R429" s="5"/>
      <c r="S429" s="15"/>
      <c r="U429" s="12"/>
      <c r="V429" s="4"/>
      <c r="X429" s="4"/>
      <c r="Y429" s="13"/>
      <c r="Z429" s="13"/>
      <c r="AA429" s="4"/>
      <c r="AB429" s="4"/>
      <c r="AD429" s="9"/>
      <c r="AE429" s="5"/>
      <c r="AF429" s="11"/>
      <c r="AG429" s="11"/>
      <c r="AI429" s="9"/>
      <c r="AJ429" s="11"/>
      <c r="AK429" s="4"/>
    </row>
    <row r="430" spans="1:38" ht="29">
      <c r="A430" s="4" t="s">
        <v>50</v>
      </c>
      <c r="B430" s="4">
        <v>25</v>
      </c>
      <c r="C430" s="4">
        <v>4</v>
      </c>
      <c r="D430" s="6" t="s">
        <v>974</v>
      </c>
      <c r="E430" s="4" t="s">
        <v>10</v>
      </c>
      <c r="F430" s="4" t="str" cm="1">
        <f t="array" ref="F430">_xlfn.IFS(
  E430="Mahuva", "Mahuva",
  E430="Jesar", "Mahuva",
  E430="Palitana", "Palitana",
  E430="Gariyadhar", "Palitana",
  E430="Talaja", "Talaja",
  E430="Vallabhipur", "Vallabhipur",
  E430="Umrala", "Vallabhipur",
  E430="Shihor", "Shihor",
  E430="Ghogha", "Bhavnagar",
  E430="Bhavnagar", "Bhavnagar"
)</f>
        <v>Mahuva</v>
      </c>
      <c r="G430" s="4" t="s">
        <v>206</v>
      </c>
      <c r="H430" s="4">
        <v>253516</v>
      </c>
      <c r="I430" s="4">
        <v>1</v>
      </c>
      <c r="J430" s="5">
        <v>46004</v>
      </c>
      <c r="K430" s="5">
        <v>46013</v>
      </c>
      <c r="L430" s="5">
        <v>46014</v>
      </c>
      <c r="O430" s="8"/>
      <c r="P430" s="8" t="str">
        <f>IF(O430&lt;0,"Below",IF(O430&gt;0,"Above","Equals"))</f>
        <v>Equals</v>
      </c>
      <c r="R430" s="5"/>
      <c r="S430" s="15"/>
      <c r="U430" s="12"/>
      <c r="V430" s="4"/>
      <c r="X430" s="4"/>
      <c r="Y430" s="13"/>
      <c r="Z430" s="13"/>
      <c r="AA430" s="4"/>
      <c r="AB430" s="4"/>
      <c r="AD430" s="9"/>
      <c r="AE430" s="5"/>
      <c r="AF430" s="11"/>
      <c r="AG430" s="11"/>
      <c r="AI430" s="9"/>
      <c r="AJ430" s="11"/>
      <c r="AK430" s="4"/>
    </row>
    <row r="431" spans="1:38" ht="43.5">
      <c r="A431" s="4" t="s">
        <v>50</v>
      </c>
      <c r="B431" s="4">
        <v>25</v>
      </c>
      <c r="C431" s="4">
        <v>5</v>
      </c>
      <c r="D431" s="6" t="s">
        <v>975</v>
      </c>
      <c r="E431" s="4" t="s">
        <v>9</v>
      </c>
      <c r="F431" s="4" t="str" cm="1">
        <f t="array" ref="F431">_xlfn.IFS(
  E431="Mahuva", "Mahuva",
  E431="Jesar", "Mahuva",
  E431="Palitana", "Palitana",
  E431="Gariyadhar", "Palitana",
  E431="Talaja", "Talaja",
  E431="Vallabhipur", "Vallabhipur",
  E431="Umrala", "Vallabhipur",
  E431="Shihor", "Shihor",
  E431="Ghogha", "Bhavnagar",
  E431="Bhavnagar", "Bhavnagar"
)</f>
        <v>Vallabhipur</v>
      </c>
      <c r="G431" s="4" t="s">
        <v>206</v>
      </c>
      <c r="H431" s="4">
        <v>253521</v>
      </c>
      <c r="I431" s="4"/>
      <c r="J431" s="5">
        <v>46004</v>
      </c>
      <c r="K431" s="5">
        <v>46016</v>
      </c>
      <c r="L431" s="5">
        <v>46017</v>
      </c>
      <c r="M431" s="7">
        <v>7732500.0199999996</v>
      </c>
      <c r="N431" s="7">
        <v>7075237.5199999996</v>
      </c>
      <c r="O431" s="8">
        <v>-8.5</v>
      </c>
      <c r="P431" s="8" t="str">
        <f>IF(O431&lt;0,"Below",IF(O431&gt;0,"Above","Equals"))</f>
        <v>Below</v>
      </c>
      <c r="Q431" s="4" t="s">
        <v>982</v>
      </c>
      <c r="R431" s="5">
        <v>46034</v>
      </c>
      <c r="S431" s="15" t="s">
        <v>996</v>
      </c>
      <c r="T431" s="14">
        <v>46038</v>
      </c>
      <c r="U431" s="12">
        <v>9</v>
      </c>
      <c r="V431" s="4">
        <v>110</v>
      </c>
      <c r="W431" s="14">
        <v>46052</v>
      </c>
      <c r="X431" s="4" t="s">
        <v>50</v>
      </c>
      <c r="Y431" s="13">
        <v>317</v>
      </c>
      <c r="Z431" s="26">
        <v>46071</v>
      </c>
      <c r="AA431" s="4" t="s">
        <v>299</v>
      </c>
      <c r="AB431" s="4" t="s">
        <v>312</v>
      </c>
      <c r="AC431" s="33">
        <v>44889667066</v>
      </c>
      <c r="AD431" s="9">
        <v>354000</v>
      </c>
      <c r="AE431" s="5">
        <v>46057</v>
      </c>
      <c r="AF431" s="11"/>
      <c r="AG431" s="11"/>
      <c r="AI431" s="9"/>
      <c r="AJ431" s="11"/>
      <c r="AK431" s="4">
        <v>288</v>
      </c>
      <c r="AL431" s="26">
        <v>46071</v>
      </c>
    </row>
    <row r="432" spans="1:38" ht="43.5">
      <c r="A432" s="4" t="s">
        <v>50</v>
      </c>
      <c r="B432" s="4">
        <v>25</v>
      </c>
      <c r="C432" s="4">
        <v>6</v>
      </c>
      <c r="D432" s="6" t="s">
        <v>976</v>
      </c>
      <c r="E432" s="4" t="s">
        <v>11</v>
      </c>
      <c r="F432" s="4" t="str" cm="1">
        <f t="array" ref="F432">_xlfn.IFS(
  E432="Mahuva", "Mahuva",
  E432="Jesar", "Mahuva",
  E432="Palitana", "Palitana",
  E432="Gariyadhar", "Palitana",
  E432="Talaja", "Talaja",
  E432="Vallabhipur", "Vallabhipur",
  E432="Umrala", "Vallabhipur",
  E432="Shihor", "Shihor",
  E432="Ghogha", "Bhavnagar",
  E432="Bhavnagar", "Bhavnagar"
)</f>
        <v>Shihor</v>
      </c>
      <c r="G432" s="4" t="s">
        <v>206</v>
      </c>
      <c r="I432" s="4">
        <v>1</v>
      </c>
      <c r="J432" s="5">
        <v>46004</v>
      </c>
      <c r="K432" s="5">
        <v>46016</v>
      </c>
      <c r="L432" s="5">
        <v>46017</v>
      </c>
      <c r="O432" s="8"/>
      <c r="P432" s="8" t="str">
        <f>IF(O432&lt;0,"Below",IF(O432&gt;0,"Above","Equals"))</f>
        <v>Equals</v>
      </c>
      <c r="R432" s="5"/>
      <c r="S432" s="15"/>
      <c r="U432" s="12"/>
      <c r="V432" s="4"/>
      <c r="X432" s="4"/>
      <c r="Y432" s="13"/>
      <c r="Z432" s="13"/>
      <c r="AA432" s="4"/>
      <c r="AB432" s="4"/>
      <c r="AD432" s="9"/>
      <c r="AE432" s="5"/>
      <c r="AF432" s="11"/>
      <c r="AG432" s="11"/>
      <c r="AI432" s="9"/>
      <c r="AJ432" s="11"/>
      <c r="AK432" s="4"/>
    </row>
    <row r="433" spans="1:38" ht="43.5">
      <c r="A433" s="4" t="s">
        <v>50</v>
      </c>
      <c r="B433" s="4">
        <v>25</v>
      </c>
      <c r="C433" s="4">
        <v>7</v>
      </c>
      <c r="D433" s="6" t="s">
        <v>993</v>
      </c>
      <c r="E433" s="4" t="s">
        <v>9</v>
      </c>
      <c r="F433" s="4" t="str" cm="1">
        <f t="array" ref="F433">_xlfn.IFS(
  E433="Mahuva", "Mahuva",
  E433="Jesar", "Mahuva",
  E433="Palitana", "Palitana",
  E433="Gariyadhar", "Palitana",
  E433="Talaja", "Talaja",
  E433="Vallabhipur", "Vallabhipur",
  E433="Umrala", "Vallabhipur",
  E433="Shihor", "Shihor",
  E433="Ghogha", "Bhavnagar",
  E433="Bhavnagar", "Bhavnagar"
)</f>
        <v>Vallabhipur</v>
      </c>
      <c r="G433" s="4" t="s">
        <v>206</v>
      </c>
      <c r="H433" s="4">
        <v>253529</v>
      </c>
      <c r="I433" s="4"/>
      <c r="J433" s="5">
        <v>46004</v>
      </c>
      <c r="K433" s="5">
        <v>46016</v>
      </c>
      <c r="L433" s="5">
        <v>46017</v>
      </c>
      <c r="M433" s="7">
        <v>6437354.8300000001</v>
      </c>
      <c r="N433" s="7">
        <v>5951334.54</v>
      </c>
      <c r="O433" s="8">
        <v>-7.55</v>
      </c>
      <c r="P433" s="8" t="str">
        <f>IF(O433&lt;0,"Below",IF(O433&gt;0,"Above","Equals"))</f>
        <v>Below</v>
      </c>
      <c r="Q433" s="4" t="s">
        <v>983</v>
      </c>
      <c r="R433" s="5">
        <v>46034</v>
      </c>
      <c r="S433" s="15" t="s">
        <v>995</v>
      </c>
      <c r="T433" s="14">
        <v>46038</v>
      </c>
      <c r="U433" s="12">
        <v>6</v>
      </c>
      <c r="V433" s="4">
        <v>109</v>
      </c>
      <c r="W433" s="14">
        <v>46052</v>
      </c>
      <c r="X433" s="4"/>
      <c r="Y433" s="13"/>
      <c r="Z433" s="13"/>
      <c r="AA433" s="4"/>
      <c r="AB433" s="4"/>
      <c r="AD433" s="9"/>
      <c r="AE433" s="5"/>
      <c r="AF433" s="11"/>
      <c r="AG433" s="11"/>
      <c r="AI433" s="9"/>
      <c r="AJ433" s="11"/>
      <c r="AK433" s="4"/>
    </row>
    <row r="434" spans="1:38" ht="43.5">
      <c r="A434" s="4" t="s">
        <v>50</v>
      </c>
      <c r="B434" s="4">
        <v>25</v>
      </c>
      <c r="C434" s="4">
        <v>8</v>
      </c>
      <c r="D434" s="6" t="s">
        <v>999</v>
      </c>
      <c r="E434" s="4" t="s">
        <v>3</v>
      </c>
      <c r="F434" s="4" t="str" cm="1">
        <f t="array" ref="F434">_xlfn.IFS(
  E434="Mahuva", "Mahuva",
  E434="Jesar", "Mahuva",
  E434="Palitana", "Palitana",
  E434="Gariyadhar", "Palitana",
  E434="Talaja", "Talaja",
  E434="Vallabhipur", "Vallabhipur",
  E434="Umrala", "Vallabhipur",
  E434="Shihor", "Shihor",
  E434="Ghogha", "Bhavnagar",
  E434="Bhavnagar", "Bhavnagar"
)</f>
        <v>Talaja</v>
      </c>
      <c r="G434" s="4" t="s">
        <v>19</v>
      </c>
      <c r="H434" s="4">
        <v>253535</v>
      </c>
      <c r="I434" s="4">
        <v>1</v>
      </c>
      <c r="J434" s="5">
        <v>46004</v>
      </c>
      <c r="K434" s="5">
        <v>46016</v>
      </c>
      <c r="L434" s="5">
        <v>46017</v>
      </c>
      <c r="M434" s="7">
        <v>8044386.5800000001</v>
      </c>
      <c r="N434" s="7">
        <v>7508630.4299999997</v>
      </c>
      <c r="O434" s="8">
        <v>-6.66</v>
      </c>
      <c r="P434" s="8" t="str">
        <f>IF(O434&lt;0,"Below",IF(O434&gt;0,"Above","Equals"))</f>
        <v>Below</v>
      </c>
      <c r="Q434" s="4" t="s">
        <v>1000</v>
      </c>
      <c r="R434" s="5">
        <v>46034</v>
      </c>
      <c r="S434" s="15" t="s">
        <v>1001</v>
      </c>
      <c r="T434" s="14">
        <v>46038</v>
      </c>
      <c r="U434" s="12">
        <v>3</v>
      </c>
      <c r="V434" s="4">
        <v>111</v>
      </c>
      <c r="W434" s="14">
        <v>46052</v>
      </c>
      <c r="X434" s="4" t="s">
        <v>1126</v>
      </c>
      <c r="Y434" s="13">
        <v>7</v>
      </c>
      <c r="Z434" s="26">
        <v>46113</v>
      </c>
      <c r="AA434" s="4" t="s">
        <v>302</v>
      </c>
      <c r="AB434" s="4" t="s">
        <v>944</v>
      </c>
      <c r="AC434" s="33" t="s">
        <v>1131</v>
      </c>
      <c r="AD434" s="9">
        <v>376000</v>
      </c>
      <c r="AE434" s="5">
        <v>46108</v>
      </c>
      <c r="AF434" s="11"/>
      <c r="AG434" s="11"/>
      <c r="AI434" s="9"/>
      <c r="AJ434" s="11"/>
      <c r="AK434" s="4">
        <v>461</v>
      </c>
      <c r="AL434" s="14">
        <v>46113</v>
      </c>
    </row>
    <row r="435" spans="1:38" ht="43.5">
      <c r="A435" s="4" t="s">
        <v>50</v>
      </c>
      <c r="B435" s="4">
        <v>26</v>
      </c>
      <c r="C435" s="4">
        <v>1</v>
      </c>
      <c r="D435" s="6" t="s">
        <v>984</v>
      </c>
      <c r="E435" s="4" t="s">
        <v>3</v>
      </c>
      <c r="F435" s="4" t="str" cm="1">
        <f t="array" ref="F435">_xlfn.IFS(
  E435="Mahuva", "Mahuva",
  E435="Jesar", "Mahuva",
  E435="Palitana", "Palitana",
  E435="Gariyadhar", "Palitana",
  E435="Talaja", "Talaja",
  E435="Vallabhipur", "Vallabhipur",
  E435="Umrala", "Vallabhipur",
  E435="Shihor", "Shihor",
  E435="Ghogha", "Bhavnagar",
  E435="Bhavnagar", "Bhavnagar"
)</f>
        <v>Talaja</v>
      </c>
      <c r="G435" s="4" t="s">
        <v>206</v>
      </c>
      <c r="H435" s="4">
        <v>258837</v>
      </c>
      <c r="I435" s="4">
        <v>2</v>
      </c>
      <c r="J435" s="5">
        <v>46005</v>
      </c>
      <c r="K435" s="5">
        <v>46013</v>
      </c>
      <c r="L435" s="5">
        <v>46014</v>
      </c>
      <c r="M435" s="7">
        <v>3343492.09</v>
      </c>
      <c r="N435" s="7">
        <v>2948625.67</v>
      </c>
      <c r="O435" s="8">
        <v>-11.81</v>
      </c>
      <c r="P435" s="8" t="str">
        <f>IF(O435&lt;0,"Below",IF(O435&gt;0,"Above","Equals"))</f>
        <v>Below</v>
      </c>
      <c r="Q435" s="4" t="s">
        <v>985</v>
      </c>
      <c r="R435" s="5"/>
      <c r="S435" s="15"/>
      <c r="U435" s="12">
        <v>6</v>
      </c>
      <c r="V435" s="4">
        <v>341</v>
      </c>
      <c r="W435" s="14">
        <v>46093</v>
      </c>
      <c r="X435" s="4" t="s">
        <v>50</v>
      </c>
      <c r="Y435" s="13">
        <v>351</v>
      </c>
      <c r="Z435" s="26">
        <v>45743</v>
      </c>
      <c r="AA435" s="4" t="s">
        <v>299</v>
      </c>
      <c r="AB435" s="4" t="s">
        <v>312</v>
      </c>
      <c r="AC435" s="33" t="s">
        <v>1117</v>
      </c>
      <c r="AD435" s="9">
        <v>148000</v>
      </c>
      <c r="AE435" s="5">
        <v>46101</v>
      </c>
      <c r="AF435" s="4" t="s">
        <v>299</v>
      </c>
      <c r="AG435" s="4" t="s">
        <v>312</v>
      </c>
      <c r="AH435" s="33" t="s">
        <v>1118</v>
      </c>
      <c r="AI435" s="9">
        <v>13000</v>
      </c>
      <c r="AJ435" s="5">
        <v>46101</v>
      </c>
      <c r="AK435" s="4">
        <v>434</v>
      </c>
      <c r="AL435" s="26">
        <v>45743</v>
      </c>
    </row>
    <row r="436" spans="1:38" ht="43.5">
      <c r="A436" s="4" t="s">
        <v>50</v>
      </c>
      <c r="B436" s="4">
        <v>26</v>
      </c>
      <c r="C436" s="4">
        <v>2</v>
      </c>
      <c r="D436" s="6" t="s">
        <v>986</v>
      </c>
      <c r="E436" s="4" t="s">
        <v>3</v>
      </c>
      <c r="F436" s="4" t="str" cm="1">
        <f t="array" ref="F436">_xlfn.IFS(
  E436="Mahuva", "Mahuva",
  E436="Jesar", "Mahuva",
  E436="Palitana", "Palitana",
  E436="Gariyadhar", "Palitana",
  E436="Talaja", "Talaja",
  E436="Vallabhipur", "Vallabhipur",
  E436="Umrala", "Vallabhipur",
  E436="Shihor", "Shihor",
  E436="Ghogha", "Bhavnagar",
  E436="Bhavnagar", "Bhavnagar"
)</f>
        <v>Talaja</v>
      </c>
      <c r="G436" s="4" t="s">
        <v>206</v>
      </c>
      <c r="H436" s="4">
        <v>258844</v>
      </c>
      <c r="I436" s="4">
        <v>2</v>
      </c>
      <c r="J436" s="5">
        <v>46005</v>
      </c>
      <c r="K436" s="5">
        <v>46013</v>
      </c>
      <c r="L436" s="5">
        <v>46014</v>
      </c>
      <c r="M436" s="7">
        <v>2067497.06</v>
      </c>
      <c r="N436" s="7">
        <v>1807199.18</v>
      </c>
      <c r="O436" s="8">
        <v>-12.59</v>
      </c>
      <c r="P436" s="8" t="str">
        <f>IF(O436&lt;0,"Below",IF(O436&gt;0,"Above","Equals"))</f>
        <v>Below</v>
      </c>
      <c r="Q436" s="4" t="s">
        <v>987</v>
      </c>
      <c r="R436" s="5"/>
      <c r="S436" s="15"/>
      <c r="U436" s="12">
        <v>4</v>
      </c>
      <c r="V436" s="4">
        <v>342</v>
      </c>
      <c r="W436" s="14">
        <v>46093</v>
      </c>
      <c r="X436" s="4" t="s">
        <v>1126</v>
      </c>
      <c r="Y436" s="13">
        <v>27</v>
      </c>
      <c r="Z436" s="26">
        <v>46188</v>
      </c>
      <c r="AA436" s="4" t="s">
        <v>299</v>
      </c>
      <c r="AB436" s="4" t="s">
        <v>312</v>
      </c>
      <c r="AC436" s="33" t="s">
        <v>1211</v>
      </c>
      <c r="AD436" s="9">
        <v>91000</v>
      </c>
      <c r="AE436" s="5">
        <v>46135</v>
      </c>
      <c r="AF436" s="4" t="s">
        <v>299</v>
      </c>
      <c r="AG436" s="4" t="s">
        <v>312</v>
      </c>
      <c r="AH436" s="33" t="s">
        <v>1212</v>
      </c>
      <c r="AI436" s="9">
        <v>11000</v>
      </c>
      <c r="AJ436" s="5">
        <v>46175</v>
      </c>
      <c r="AK436" s="4">
        <v>673</v>
      </c>
      <c r="AL436" s="14">
        <v>46188</v>
      </c>
    </row>
    <row r="437" spans="1:38" ht="43.5">
      <c r="A437" s="4" t="s">
        <v>50</v>
      </c>
      <c r="B437" s="4">
        <v>26</v>
      </c>
      <c r="C437" s="4">
        <v>3</v>
      </c>
      <c r="D437" s="6" t="s">
        <v>988</v>
      </c>
      <c r="E437" s="4" t="s">
        <v>3</v>
      </c>
      <c r="F437" s="4" t="str" cm="1">
        <f t="array" ref="F437">_xlfn.IFS(
  E437="Mahuva", "Mahuva",
  E437="Jesar", "Mahuva",
  E437="Palitana", "Palitana",
  E437="Gariyadhar", "Palitana",
  E437="Talaja", "Talaja",
  E437="Vallabhipur", "Vallabhipur",
  E437="Umrala", "Vallabhipur",
  E437="Shihor", "Shihor",
  E437="Ghogha", "Bhavnagar",
  E437="Bhavnagar", "Bhavnagar"
)</f>
        <v>Talaja</v>
      </c>
      <c r="G437" s="4" t="s">
        <v>206</v>
      </c>
      <c r="H437" s="4">
        <v>258852</v>
      </c>
      <c r="I437" s="4">
        <v>2</v>
      </c>
      <c r="J437" s="5">
        <v>46005</v>
      </c>
      <c r="K437" s="5">
        <v>46013</v>
      </c>
      <c r="L437" s="5">
        <v>46014</v>
      </c>
      <c r="M437" s="7">
        <v>2067497.06</v>
      </c>
      <c r="N437" s="7">
        <v>1808853.18</v>
      </c>
      <c r="O437" s="8">
        <v>-12.51</v>
      </c>
      <c r="P437" s="8" t="str">
        <f>IF(O437&lt;0,"Below",IF(O437&gt;0,"Above","Equals"))</f>
        <v>Below</v>
      </c>
      <c r="Q437" s="4" t="s">
        <v>987</v>
      </c>
      <c r="R437" s="5"/>
      <c r="S437" s="15"/>
      <c r="U437" s="12">
        <v>4</v>
      </c>
      <c r="V437" s="4">
        <v>343</v>
      </c>
      <c r="W437" s="14">
        <v>46093</v>
      </c>
      <c r="X437" s="4" t="s">
        <v>1126</v>
      </c>
      <c r="Y437" s="13">
        <v>28</v>
      </c>
      <c r="Z437" s="26">
        <v>46188</v>
      </c>
      <c r="AA437" s="4" t="s">
        <v>299</v>
      </c>
      <c r="AB437" s="4" t="s">
        <v>312</v>
      </c>
      <c r="AC437" s="33" t="s">
        <v>1213</v>
      </c>
      <c r="AD437" s="9">
        <v>91000</v>
      </c>
      <c r="AE437" s="5">
        <v>46135</v>
      </c>
      <c r="AF437" s="4" t="s">
        <v>299</v>
      </c>
      <c r="AG437" s="4" t="s">
        <v>312</v>
      </c>
      <c r="AH437" s="33" t="s">
        <v>1214</v>
      </c>
      <c r="AI437" s="9">
        <v>11000</v>
      </c>
      <c r="AJ437" s="5">
        <v>46175</v>
      </c>
      <c r="AK437" s="4">
        <v>674</v>
      </c>
      <c r="AL437" s="14">
        <v>46188</v>
      </c>
    </row>
    <row r="438" spans="1:38" ht="43.5">
      <c r="A438" s="4" t="s">
        <v>50</v>
      </c>
      <c r="B438" s="4">
        <v>26</v>
      </c>
      <c r="C438" s="4">
        <v>4</v>
      </c>
      <c r="D438" s="6" t="s">
        <v>989</v>
      </c>
      <c r="E438" s="4" t="s">
        <v>2</v>
      </c>
      <c r="F438" s="4" t="str" cm="1">
        <f t="array" ref="F438">_xlfn.IFS(
  E438="Mahuva", "Mahuva",
  E438="Jesar", "Mahuva",
  E438="Palitana", "Palitana",
  E438="Gariyadhar", "Palitana",
  E438="Talaja", "Talaja",
  E438="Vallabhipur", "Vallabhipur",
  E438="Umrala", "Vallabhipur",
  E438="Shihor", "Shihor",
  E438="Ghogha", "Bhavnagar",
  E438="Bhavnagar", "Bhavnagar"
)</f>
        <v>Palitana</v>
      </c>
      <c r="G438" s="4" t="s">
        <v>206</v>
      </c>
      <c r="H438" s="4">
        <v>258858</v>
      </c>
      <c r="I438" s="4">
        <v>2</v>
      </c>
      <c r="J438" s="5">
        <v>46005</v>
      </c>
      <c r="K438" s="5">
        <v>46013</v>
      </c>
      <c r="L438" s="5">
        <v>46014</v>
      </c>
      <c r="M438" s="7">
        <v>2067497.06</v>
      </c>
      <c r="N438" s="7">
        <v>1860954.1</v>
      </c>
      <c r="O438" s="8">
        <v>-9.99</v>
      </c>
      <c r="P438" s="8" t="str">
        <f>IF(O438&lt;0,"Below",IF(O438&gt;0,"Above","Equals"))</f>
        <v>Below</v>
      </c>
      <c r="Q438" s="4" t="s">
        <v>990</v>
      </c>
      <c r="R438" s="5"/>
      <c r="S438" s="15"/>
      <c r="U438" s="12">
        <v>4</v>
      </c>
      <c r="V438" s="4">
        <v>344</v>
      </c>
      <c r="W438" s="14">
        <v>46093</v>
      </c>
      <c r="X438" s="4" t="s">
        <v>1126</v>
      </c>
      <c r="Y438" s="13">
        <v>21</v>
      </c>
      <c r="Z438" s="26">
        <v>46161</v>
      </c>
      <c r="AA438" s="4" t="s">
        <v>299</v>
      </c>
      <c r="AB438" s="4" t="s">
        <v>312</v>
      </c>
      <c r="AC438" s="33" t="s">
        <v>1173</v>
      </c>
      <c r="AD438" s="9">
        <v>94000</v>
      </c>
      <c r="AE438" s="5">
        <v>46142</v>
      </c>
      <c r="AF438" s="11"/>
      <c r="AG438" s="11"/>
      <c r="AI438" s="9"/>
      <c r="AJ438" s="11"/>
      <c r="AK438" s="4">
        <v>579</v>
      </c>
      <c r="AL438" s="26">
        <v>46161</v>
      </c>
    </row>
    <row r="439" spans="1:38" ht="43.5">
      <c r="A439" s="4" t="s">
        <v>50</v>
      </c>
      <c r="B439" s="4">
        <v>26</v>
      </c>
      <c r="C439" s="4">
        <v>5</v>
      </c>
      <c r="D439" s="6" t="s">
        <v>991</v>
      </c>
      <c r="E439" s="4" t="s">
        <v>228</v>
      </c>
      <c r="F439" s="4" t="str" cm="1">
        <f t="array" ref="F439">_xlfn.IFS(
  E439="Mahuva", "Mahuva",
  E439="Jesar", "Mahuva",
  E439="Palitana", "Palitana",
  E439="Gariyadhar", "Palitana",
  E439="Talaja", "Talaja",
  E439="Vallabhipur", "Vallabhipur",
  E439="Umrala", "Vallabhipur",
  E439="Shihor", "Shihor",
  E439="Ghogha", "Bhavnagar",
  E439="Bhavnagar", "Bhavnagar"
)</f>
        <v>Mahuva</v>
      </c>
      <c r="G439" s="4" t="s">
        <v>206</v>
      </c>
      <c r="H439" s="4">
        <v>258668</v>
      </c>
      <c r="I439" s="4">
        <v>1</v>
      </c>
      <c r="J439" s="5">
        <v>46005</v>
      </c>
      <c r="K439" s="5">
        <v>46013</v>
      </c>
      <c r="L439" s="5">
        <v>46014</v>
      </c>
      <c r="O439" s="8"/>
      <c r="P439" s="8" t="str">
        <f>IF(O439&lt;0,"Below",IF(O439&gt;0,"Above","Equals"))</f>
        <v>Equals</v>
      </c>
      <c r="R439" s="5"/>
      <c r="S439" s="15"/>
      <c r="U439" s="12"/>
      <c r="V439" s="4"/>
      <c r="X439" s="4"/>
      <c r="Y439" s="13"/>
      <c r="Z439" s="13"/>
      <c r="AA439" s="4"/>
      <c r="AB439" s="4"/>
      <c r="AD439" s="9"/>
      <c r="AE439" s="5"/>
      <c r="AF439" s="11"/>
      <c r="AG439" s="11"/>
      <c r="AI439" s="9"/>
      <c r="AJ439" s="11"/>
      <c r="AK439" s="4"/>
    </row>
    <row r="440" spans="1:38" ht="43.5">
      <c r="A440" s="4" t="s">
        <v>50</v>
      </c>
      <c r="B440" s="4">
        <v>26</v>
      </c>
      <c r="C440" s="4">
        <v>6</v>
      </c>
      <c r="D440" s="6" t="s">
        <v>992</v>
      </c>
      <c r="E440" s="4" t="s">
        <v>279</v>
      </c>
      <c r="F440" s="4" t="str" cm="1">
        <f t="array" ref="F440">_xlfn.IFS(
  E440="Mahuva", "Mahuva",
  E440="Jesar", "Mahuva",
  E440="Palitana", "Palitana",
  E440="Gariyadhar", "Palitana",
  E440="Talaja", "Talaja",
  E440="Vallabhipur", "Vallabhipur",
  E440="Umrala", "Vallabhipur",
  E440="Shihor", "Shihor",
  E440="Ghogha", "Bhavnagar",
  E440="Bhavnagar", "Bhavnagar"
)</f>
        <v>Bhavnagar</v>
      </c>
      <c r="G440" s="4" t="s">
        <v>206</v>
      </c>
      <c r="I440" s="4">
        <v>1</v>
      </c>
      <c r="J440" s="5">
        <v>46005</v>
      </c>
      <c r="K440" s="5">
        <v>46013</v>
      </c>
      <c r="L440" s="5">
        <v>46014</v>
      </c>
      <c r="O440" s="8"/>
      <c r="P440" s="8" t="str">
        <f>IF(O440&lt;0,"Below",IF(O440&gt;0,"Above","Equals"))</f>
        <v>Equals</v>
      </c>
      <c r="R440" s="5"/>
      <c r="S440" s="15"/>
      <c r="U440" s="12"/>
      <c r="V440" s="4"/>
      <c r="X440" s="4"/>
      <c r="Y440" s="13"/>
      <c r="Z440" s="13"/>
      <c r="AA440" s="4"/>
      <c r="AB440" s="4"/>
      <c r="AD440" s="9"/>
      <c r="AE440" s="5"/>
      <c r="AF440" s="11"/>
      <c r="AG440" s="11"/>
      <c r="AI440" s="9"/>
      <c r="AJ440" s="11"/>
      <c r="AK440" s="4"/>
    </row>
    <row r="441" spans="1:38" ht="43.5">
      <c r="A441" s="4" t="s">
        <v>50</v>
      </c>
      <c r="B441" s="4">
        <v>27</v>
      </c>
      <c r="C441" s="4">
        <v>1</v>
      </c>
      <c r="D441" s="6" t="s">
        <v>991</v>
      </c>
      <c r="E441" s="4" t="s">
        <v>228</v>
      </c>
      <c r="F441" s="4" t="str" cm="1">
        <f t="array" ref="F441">_xlfn.IFS(
  E441="Mahuva", "Mahuva",
  E441="Jesar", "Mahuva",
  E441="Palitana", "Palitana",
  E441="Gariyadhar", "Palitana",
  E441="Talaja", "Talaja",
  E441="Vallabhipur", "Vallabhipur",
  E441="Umrala", "Vallabhipur",
  E441="Shihor", "Shihor",
  E441="Ghogha", "Bhavnagar",
  E441="Bhavnagar", "Bhavnagar"
)</f>
        <v>Mahuva</v>
      </c>
      <c r="G441" s="4" t="s">
        <v>206</v>
      </c>
      <c r="H441" s="4">
        <v>263791</v>
      </c>
      <c r="I441" s="4">
        <v>2</v>
      </c>
      <c r="J441" s="5">
        <v>46032</v>
      </c>
      <c r="K441" s="5">
        <v>46041</v>
      </c>
      <c r="L441" s="5">
        <v>46042</v>
      </c>
      <c r="M441" s="7">
        <v>2079935.08</v>
      </c>
      <c r="N441" s="7">
        <v>1793320.03</v>
      </c>
      <c r="O441" s="8">
        <v>-13.78</v>
      </c>
      <c r="P441" s="8" t="str">
        <f>IF(O441&lt;0,"Below",IF(O441&gt;0,"Above","Equals"))</f>
        <v>Below</v>
      </c>
      <c r="Q441" s="4" t="s">
        <v>1007</v>
      </c>
      <c r="R441" s="5"/>
      <c r="S441" s="15"/>
      <c r="U441" s="12">
        <v>4</v>
      </c>
      <c r="V441" s="4">
        <v>345</v>
      </c>
      <c r="W441" s="14">
        <v>46093</v>
      </c>
      <c r="X441" s="4" t="s">
        <v>50</v>
      </c>
      <c r="Y441" s="13">
        <v>352</v>
      </c>
      <c r="Z441" s="26">
        <v>46108</v>
      </c>
      <c r="AA441" s="4" t="s">
        <v>299</v>
      </c>
      <c r="AB441" s="4" t="s">
        <v>312</v>
      </c>
      <c r="AC441" s="33" t="s">
        <v>1119</v>
      </c>
      <c r="AD441" s="9">
        <v>90000</v>
      </c>
      <c r="AE441" s="5">
        <v>46104</v>
      </c>
      <c r="AF441" s="4" t="s">
        <v>299</v>
      </c>
      <c r="AG441" s="4" t="s">
        <v>312</v>
      </c>
      <c r="AH441" s="33" t="s">
        <v>1120</v>
      </c>
      <c r="AI441" s="9">
        <v>16000</v>
      </c>
      <c r="AJ441" s="5">
        <v>46104</v>
      </c>
      <c r="AK441" s="4">
        <v>435</v>
      </c>
      <c r="AL441" s="26">
        <v>46108</v>
      </c>
    </row>
    <row r="442" spans="1:38" ht="43.5">
      <c r="A442" s="4" t="s">
        <v>50</v>
      </c>
      <c r="B442" s="4">
        <v>27</v>
      </c>
      <c r="C442" s="4">
        <v>2</v>
      </c>
      <c r="D442" s="6" t="s">
        <v>992</v>
      </c>
      <c r="E442" s="4" t="s">
        <v>279</v>
      </c>
      <c r="F442" s="4" t="str" cm="1">
        <f t="array" ref="F442">_xlfn.IFS(
  E442="Mahuva", "Mahuva",
  E442="Jesar", "Mahuva",
  E442="Palitana", "Palitana",
  E442="Gariyadhar", "Palitana",
  E442="Talaja", "Talaja",
  E442="Vallabhipur", "Vallabhipur",
  E442="Umrala", "Vallabhipur",
  E442="Shihor", "Shihor",
  E442="Ghogha", "Bhavnagar",
  E442="Bhavnagar", "Bhavnagar"
)</f>
        <v>Bhavnagar</v>
      </c>
      <c r="G442" s="4" t="s">
        <v>206</v>
      </c>
      <c r="H442" s="4">
        <v>263800</v>
      </c>
      <c r="I442" s="4">
        <v>2</v>
      </c>
      <c r="J442" s="5">
        <v>46032</v>
      </c>
      <c r="K442" s="5">
        <v>46041</v>
      </c>
      <c r="L442" s="5">
        <v>46042</v>
      </c>
      <c r="M442" s="7">
        <v>656290.28</v>
      </c>
      <c r="N442" s="7">
        <v>604968.38</v>
      </c>
      <c r="O442" s="8">
        <v>-7.82</v>
      </c>
      <c r="P442" s="8" t="str">
        <f>IF(O442&lt;0,"Below",IF(O442&gt;0,"Above","Equals"))</f>
        <v>Below</v>
      </c>
      <c r="Q442" s="4" t="s">
        <v>341</v>
      </c>
      <c r="R442" s="5"/>
      <c r="S442" s="15"/>
      <c r="U442" s="12">
        <v>3</v>
      </c>
      <c r="V442" s="4">
        <v>346</v>
      </c>
      <c r="W442" s="14">
        <v>46093</v>
      </c>
      <c r="X442" s="4"/>
      <c r="Y442" s="13"/>
      <c r="Z442" s="13"/>
      <c r="AA442" s="4"/>
      <c r="AB442" s="4"/>
      <c r="AD442" s="9"/>
      <c r="AE442" s="5"/>
      <c r="AF442" s="11"/>
      <c r="AG442" s="11"/>
      <c r="AI442" s="9"/>
      <c r="AJ442" s="11"/>
      <c r="AK442" s="4"/>
    </row>
    <row r="443" spans="1:38" ht="43.5">
      <c r="A443" s="4" t="s">
        <v>50</v>
      </c>
      <c r="B443" s="4">
        <v>27</v>
      </c>
      <c r="C443" s="4">
        <v>3</v>
      </c>
      <c r="D443" s="6" t="s">
        <v>1008</v>
      </c>
      <c r="E443" s="4" t="s">
        <v>10</v>
      </c>
      <c r="F443" s="4" t="str" cm="1">
        <f t="array" ref="F443">_xlfn.IFS(
  E443="Mahuva", "Mahuva",
  E443="Jesar", "Mahuva",
  E443="Palitana", "Palitana",
  E443="Gariyadhar", "Palitana",
  E443="Talaja", "Talaja",
  E443="Vallabhipur", "Vallabhipur",
  E443="Umrala", "Vallabhipur",
  E443="Shihor", "Shihor",
  E443="Ghogha", "Bhavnagar",
  E443="Bhavnagar", "Bhavnagar"
)</f>
        <v>Mahuva</v>
      </c>
      <c r="G443" s="4" t="s">
        <v>19</v>
      </c>
      <c r="H443" s="4">
        <v>263805</v>
      </c>
      <c r="I443" s="4">
        <v>5</v>
      </c>
      <c r="J443" s="5">
        <v>46032</v>
      </c>
      <c r="K443" s="5">
        <v>46041</v>
      </c>
      <c r="L443" s="5">
        <v>46042</v>
      </c>
      <c r="M443" s="7">
        <v>17630070.370000001</v>
      </c>
      <c r="N443" s="7">
        <v>20256950.859999999</v>
      </c>
      <c r="O443" s="8">
        <v>14.9</v>
      </c>
      <c r="P443" s="8" t="str">
        <f>IF(O443&lt;0,"Below",IF(O443&gt;0,"Above","Equals"))</f>
        <v>Above</v>
      </c>
      <c r="Q443" s="4" t="s">
        <v>315</v>
      </c>
      <c r="R443" s="5">
        <v>46050</v>
      </c>
      <c r="S443" s="15" t="s">
        <v>1023</v>
      </c>
      <c r="T443" s="14">
        <v>46076</v>
      </c>
      <c r="U443" s="12">
        <v>6</v>
      </c>
      <c r="V443" s="4">
        <v>299</v>
      </c>
      <c r="W443" s="14">
        <v>46077</v>
      </c>
      <c r="X443" s="4" t="s">
        <v>1126</v>
      </c>
      <c r="Y443" s="13">
        <v>3</v>
      </c>
      <c r="Z443" s="26">
        <v>46113</v>
      </c>
      <c r="AA443" s="4" t="s">
        <v>302</v>
      </c>
      <c r="AB443" s="4" t="s">
        <v>944</v>
      </c>
      <c r="AC443" s="33" t="s">
        <v>1127</v>
      </c>
      <c r="AD443" s="9">
        <v>1013000</v>
      </c>
      <c r="AE443" s="5">
        <v>46111</v>
      </c>
      <c r="AF443" s="11"/>
      <c r="AG443" s="11"/>
      <c r="AI443" s="9"/>
      <c r="AJ443" s="11"/>
      <c r="AK443" s="4">
        <v>457</v>
      </c>
      <c r="AL443" s="14">
        <v>46113</v>
      </c>
    </row>
    <row r="444" spans="1:38" ht="43.5">
      <c r="A444" s="4" t="s">
        <v>50</v>
      </c>
      <c r="B444" s="4">
        <v>27</v>
      </c>
      <c r="C444" s="4">
        <v>4</v>
      </c>
      <c r="D444" s="6" t="s">
        <v>1009</v>
      </c>
      <c r="E444" s="4" t="s">
        <v>207</v>
      </c>
      <c r="F444" s="4" t="str" cm="1">
        <f t="array" ref="F444">_xlfn.IFS(
  E444="Mahuva", "Mahuva",
  E444="Jesar", "Mahuva",
  E444="Palitana", "Palitana",
  E444="Gariyadhar", "Palitana",
  E444="Talaja", "Talaja",
  E444="Vallabhipur", "Vallabhipur",
  E444="Umrala", "Vallabhipur",
  E444="Shihor", "Shihor",
  E444="Ghogha", "Bhavnagar",
  E444="Bhavnagar", "Bhavnagar"
)</f>
        <v>Palitana</v>
      </c>
      <c r="G444" s="4" t="s">
        <v>206</v>
      </c>
      <c r="H444" s="4">
        <v>263812</v>
      </c>
      <c r="I444" s="4">
        <v>2</v>
      </c>
      <c r="J444" s="5">
        <v>46032</v>
      </c>
      <c r="K444" s="5">
        <v>46041</v>
      </c>
      <c r="L444" s="5">
        <v>46042</v>
      </c>
      <c r="M444" s="7">
        <v>6567937.3899999997</v>
      </c>
      <c r="N444" s="7">
        <v>5739720.4900000002</v>
      </c>
      <c r="O444" s="8">
        <v>-12.61</v>
      </c>
      <c r="P444" s="8" t="str">
        <f>IF(O444&lt;0,"Below",IF(O444&gt;0,"Above","Equals"))</f>
        <v>Below</v>
      </c>
      <c r="Q444" s="4" t="s">
        <v>982</v>
      </c>
      <c r="R444" s="5">
        <v>46050</v>
      </c>
      <c r="S444" s="15" t="s">
        <v>1024</v>
      </c>
      <c r="T444" s="14">
        <v>46064</v>
      </c>
      <c r="U444" s="12">
        <v>6</v>
      </c>
      <c r="V444" s="4">
        <v>421</v>
      </c>
      <c r="W444" s="14">
        <v>46108</v>
      </c>
      <c r="X444" s="4"/>
      <c r="Y444" s="13"/>
      <c r="Z444" s="13"/>
      <c r="AA444" s="4"/>
      <c r="AB444" s="4"/>
      <c r="AD444" s="9"/>
      <c r="AE444" s="5"/>
      <c r="AF444" s="11"/>
      <c r="AG444" s="11"/>
      <c r="AI444" s="9"/>
      <c r="AJ444" s="11"/>
      <c r="AK444" s="4"/>
    </row>
    <row r="445" spans="1:38" ht="43.5">
      <c r="A445" s="4" t="s">
        <v>50</v>
      </c>
      <c r="B445" s="4">
        <v>27</v>
      </c>
      <c r="C445" s="4">
        <v>5</v>
      </c>
      <c r="D445" s="6" t="s">
        <v>1013</v>
      </c>
      <c r="E445" s="4" t="s">
        <v>10</v>
      </c>
      <c r="F445" s="4" t="str" cm="1">
        <f t="array" ref="F445">_xlfn.IFS(
  E445="Mahuva", "Mahuva",
  E445="Jesar", "Mahuva",
  E445="Palitana", "Palitana",
  E445="Gariyadhar", "Palitana",
  E445="Talaja", "Talaja",
  E445="Vallabhipur", "Vallabhipur",
  E445="Umrala", "Vallabhipur",
  E445="Shihor", "Shihor",
  E445="Ghogha", "Bhavnagar",
  E445="Bhavnagar", "Bhavnagar"
)</f>
        <v>Mahuva</v>
      </c>
      <c r="G445" s="4" t="s">
        <v>206</v>
      </c>
      <c r="H445" s="4">
        <v>263818</v>
      </c>
      <c r="I445" s="4">
        <v>2</v>
      </c>
      <c r="J445" s="5">
        <v>46032</v>
      </c>
      <c r="K445" s="5">
        <v>46041</v>
      </c>
      <c r="L445" s="5">
        <v>46042</v>
      </c>
      <c r="M445" s="7">
        <v>6483778.8499999996</v>
      </c>
      <c r="N445" s="7">
        <v>5955350.8700000001</v>
      </c>
      <c r="O445" s="8">
        <v>-8.15</v>
      </c>
      <c r="P445" s="8" t="str">
        <f>IF(O445&lt;0,"Below",IF(O445&gt;0,"Above","Equals"))</f>
        <v>Below</v>
      </c>
      <c r="Q445" s="4" t="s">
        <v>1014</v>
      </c>
      <c r="R445" s="5">
        <v>46097</v>
      </c>
      <c r="S445" s="15" t="s">
        <v>1097</v>
      </c>
      <c r="T445" s="14">
        <v>46101</v>
      </c>
      <c r="U445" s="12">
        <v>6</v>
      </c>
      <c r="V445" s="4">
        <v>418</v>
      </c>
      <c r="W445" s="14">
        <v>46108</v>
      </c>
      <c r="X445" s="4" t="s">
        <v>1126</v>
      </c>
      <c r="Y445" s="13">
        <v>9</v>
      </c>
      <c r="Z445" s="26">
        <v>46113</v>
      </c>
      <c r="AA445" s="4" t="s">
        <v>299</v>
      </c>
      <c r="AB445" s="4" t="s">
        <v>312</v>
      </c>
      <c r="AC445" s="33" t="s">
        <v>1133</v>
      </c>
      <c r="AD445" s="9">
        <v>298000</v>
      </c>
      <c r="AE445" s="5">
        <v>46113</v>
      </c>
      <c r="AF445" s="11"/>
      <c r="AG445" s="11"/>
      <c r="AI445" s="9"/>
      <c r="AJ445" s="11"/>
      <c r="AK445" s="4">
        <v>463</v>
      </c>
      <c r="AL445" s="26">
        <v>46113</v>
      </c>
    </row>
    <row r="446" spans="1:38" ht="43.5">
      <c r="A446" s="4" t="s">
        <v>50</v>
      </c>
      <c r="B446" s="4">
        <v>27</v>
      </c>
      <c r="C446" s="4">
        <v>6</v>
      </c>
      <c r="D446" s="6" t="s">
        <v>1170</v>
      </c>
      <c r="E446" s="4" t="s">
        <v>11</v>
      </c>
      <c r="F446" s="4" t="str" cm="1">
        <f t="array" ref="F446">_xlfn.IFS(
  E446="Mahuva", "Mahuva",
  E446="Jesar", "Mahuva",
  E446="Palitana", "Palitana",
  E446="Gariyadhar", "Palitana",
  E446="Talaja", "Talaja",
  E446="Vallabhipur", "Vallabhipur",
  E446="Umrala", "Vallabhipur",
  E446="Shihor", "Shihor",
  E446="Ghogha", "Bhavnagar",
  E446="Bhavnagar", "Bhavnagar"
)</f>
        <v>Shihor</v>
      </c>
      <c r="G446" s="4" t="s">
        <v>206</v>
      </c>
      <c r="H446" s="4">
        <v>263820</v>
      </c>
      <c r="I446" s="4">
        <v>2</v>
      </c>
      <c r="J446" s="5">
        <v>46032</v>
      </c>
      <c r="K446" s="5">
        <v>46041</v>
      </c>
      <c r="L446" s="5">
        <v>46042</v>
      </c>
      <c r="M446" s="7">
        <v>6474557.0199999996</v>
      </c>
      <c r="N446" s="7">
        <v>5946880.6200000001</v>
      </c>
      <c r="O446" s="8">
        <v>-8.15</v>
      </c>
      <c r="P446" s="8" t="str">
        <f>IF(O446&lt;0,"Below",IF(O446&gt;0,"Above","Equals"))</f>
        <v>Below</v>
      </c>
      <c r="Q446" s="4" t="s">
        <v>982</v>
      </c>
      <c r="R446" s="5">
        <v>46097</v>
      </c>
      <c r="S446" s="15" t="s">
        <v>1098</v>
      </c>
      <c r="T446" s="14">
        <v>46101</v>
      </c>
      <c r="U446" s="12">
        <v>6</v>
      </c>
      <c r="V446" s="4">
        <v>419</v>
      </c>
      <c r="W446" s="14">
        <v>46108</v>
      </c>
      <c r="X446" s="4"/>
      <c r="Y446" s="13"/>
      <c r="Z446" s="13"/>
      <c r="AA446" s="4"/>
      <c r="AB446" s="4"/>
      <c r="AD446" s="9"/>
      <c r="AE446" s="5"/>
      <c r="AF446" s="11"/>
      <c r="AG446" s="11"/>
      <c r="AI446" s="9"/>
      <c r="AJ446" s="11"/>
      <c r="AK446" s="4"/>
    </row>
    <row r="447" spans="1:38" ht="29">
      <c r="A447" s="4" t="s">
        <v>50</v>
      </c>
      <c r="B447" s="4">
        <v>28</v>
      </c>
      <c r="C447" s="4">
        <v>1</v>
      </c>
      <c r="D447" s="6" t="s">
        <v>1035</v>
      </c>
      <c r="E447" s="4" t="s">
        <v>2</v>
      </c>
      <c r="F447" s="4" t="str" cm="1">
        <f t="array" ref="F447">_xlfn.IFS(
  E447="Mahuva", "Mahuva",
  E447="Jesar", "Mahuva",
  E447="Palitana", "Palitana",
  E447="Gariyadhar", "Palitana",
  E447="Talaja", "Talaja",
  E447="Vallabhipur", "Vallabhipur",
  E447="Umrala", "Vallabhipur",
  E447="Shihor", "Shihor",
  E447="Ghogha", "Bhavnagar",
  E447="Bhavnagar", "Bhavnagar"
)</f>
        <v>Palitana</v>
      </c>
      <c r="G447" s="4" t="s">
        <v>206</v>
      </c>
      <c r="H447" s="4">
        <v>270967</v>
      </c>
      <c r="I447" s="4">
        <v>1</v>
      </c>
      <c r="J447" s="5">
        <v>46052</v>
      </c>
      <c r="K447" s="5">
        <v>46062</v>
      </c>
      <c r="L447" s="5">
        <f>K447+1</f>
        <v>46063</v>
      </c>
      <c r="O447" s="8"/>
      <c r="P447" s="8" t="str">
        <f>IF(O447&lt;0,"Below",IF(O447&gt;0,"Above","Equals"))</f>
        <v>Equals</v>
      </c>
      <c r="R447" s="5"/>
      <c r="S447" s="15"/>
      <c r="U447" s="12"/>
      <c r="V447" s="4"/>
      <c r="X447" s="4"/>
      <c r="Y447" s="13"/>
      <c r="Z447" s="13"/>
      <c r="AA447" s="4"/>
      <c r="AB447" s="4"/>
      <c r="AD447" s="9"/>
      <c r="AE447" s="5"/>
      <c r="AF447" s="11"/>
      <c r="AG447" s="11"/>
      <c r="AI447" s="9"/>
      <c r="AJ447" s="11"/>
      <c r="AK447" s="4"/>
    </row>
    <row r="448" spans="1:38" ht="43.5">
      <c r="A448" s="4" t="s">
        <v>50</v>
      </c>
      <c r="B448" s="4">
        <v>28</v>
      </c>
      <c r="C448" s="4">
        <v>2</v>
      </c>
      <c r="D448" s="6" t="s">
        <v>1062</v>
      </c>
      <c r="E448" s="4" t="s">
        <v>3</v>
      </c>
      <c r="F448" s="4" t="str" cm="1">
        <f t="array" ref="F448">_xlfn.IFS(
  E448="Mahuva", "Mahuva",
  E448="Jesar", "Mahuva",
  E448="Palitana", "Palitana",
  E448="Gariyadhar", "Palitana",
  E448="Talaja", "Talaja",
  E448="Vallabhipur", "Vallabhipur",
  E448="Umrala", "Vallabhipur",
  E448="Shihor", "Shihor",
  E448="Ghogha", "Bhavnagar",
  E448="Bhavnagar", "Bhavnagar"
)</f>
        <v>Talaja</v>
      </c>
      <c r="G448" s="4" t="s">
        <v>206</v>
      </c>
      <c r="H448" s="4">
        <v>270979</v>
      </c>
      <c r="I448" s="4">
        <v>1</v>
      </c>
      <c r="J448" s="5">
        <v>46052</v>
      </c>
      <c r="K448" s="5">
        <v>46062</v>
      </c>
      <c r="L448" s="5">
        <f>K448+1</f>
        <v>46063</v>
      </c>
      <c r="M448" s="7">
        <v>1248659.47</v>
      </c>
      <c r="N448" s="7">
        <v>1108559.8799999999</v>
      </c>
      <c r="O448" s="8">
        <v>-11.22</v>
      </c>
      <c r="P448" s="8" t="str">
        <f>IF(O448&lt;0,"Below",IF(O448&gt;0,"Above","Equals"))</f>
        <v>Below</v>
      </c>
      <c r="Q448" s="4" t="s">
        <v>352</v>
      </c>
      <c r="R448" s="5"/>
      <c r="S448" s="15"/>
      <c r="U448" s="12">
        <v>3</v>
      </c>
      <c r="V448" s="4">
        <v>384</v>
      </c>
      <c r="W448" s="14">
        <v>46101</v>
      </c>
      <c r="X448" s="4"/>
      <c r="Y448" s="13"/>
      <c r="Z448" s="13"/>
      <c r="AA448" s="4"/>
      <c r="AB448" s="4"/>
      <c r="AD448" s="9"/>
      <c r="AE448" s="5"/>
      <c r="AF448" s="11"/>
      <c r="AG448" s="11"/>
      <c r="AI448" s="9"/>
      <c r="AJ448" s="11"/>
      <c r="AK448" s="4"/>
    </row>
    <row r="449" spans="1:38" ht="43.5">
      <c r="A449" s="4" t="s">
        <v>50</v>
      </c>
      <c r="B449" s="4">
        <v>28</v>
      </c>
      <c r="C449" s="4">
        <v>3</v>
      </c>
      <c r="D449" s="6" t="s">
        <v>1063</v>
      </c>
      <c r="E449" s="4" t="s">
        <v>9</v>
      </c>
      <c r="F449" s="4" t="str" cm="1">
        <f t="array" ref="F449">_xlfn.IFS(
  E449="Mahuva", "Mahuva",
  E449="Jesar", "Mahuva",
  E449="Palitana", "Palitana",
  E449="Gariyadhar", "Palitana",
  E449="Talaja", "Talaja",
  E449="Vallabhipur", "Vallabhipur",
  E449="Umrala", "Vallabhipur",
  E449="Shihor", "Shihor",
  E449="Ghogha", "Bhavnagar",
  E449="Bhavnagar", "Bhavnagar"
)</f>
        <v>Vallabhipur</v>
      </c>
      <c r="G449" s="4" t="s">
        <v>206</v>
      </c>
      <c r="H449" s="4">
        <v>270980</v>
      </c>
      <c r="I449" s="4">
        <v>1</v>
      </c>
      <c r="J449" s="5">
        <v>46052</v>
      </c>
      <c r="K449" s="5">
        <v>46062</v>
      </c>
      <c r="L449" s="5">
        <f>K449+1</f>
        <v>46063</v>
      </c>
      <c r="M449" s="7">
        <v>1251587.29</v>
      </c>
      <c r="N449" s="7">
        <v>1148331.3400000001</v>
      </c>
      <c r="O449" s="8">
        <v>-8.25</v>
      </c>
      <c r="P449" s="8" t="str">
        <f>IF(O449&lt;0,"Below",IF(O449&gt;0,"Above","Equals"))</f>
        <v>Below</v>
      </c>
      <c r="Q449" s="4" t="s">
        <v>353</v>
      </c>
      <c r="R449" s="5"/>
      <c r="S449" s="15"/>
      <c r="U449" s="12">
        <v>3</v>
      </c>
      <c r="V449" s="4">
        <v>385</v>
      </c>
      <c r="W449" s="14">
        <v>46101</v>
      </c>
      <c r="X449" s="4"/>
      <c r="Y449" s="13"/>
      <c r="Z449" s="13"/>
      <c r="AA449" s="4"/>
      <c r="AB449" s="4"/>
      <c r="AD449" s="9"/>
      <c r="AE449" s="5"/>
      <c r="AF449" s="11"/>
      <c r="AG449" s="11"/>
      <c r="AI449" s="9"/>
      <c r="AJ449" s="11"/>
      <c r="AK449" s="4"/>
    </row>
    <row r="450" spans="1:38" ht="43.5">
      <c r="A450" s="4" t="s">
        <v>50</v>
      </c>
      <c r="B450" s="4">
        <v>28</v>
      </c>
      <c r="C450" s="4">
        <v>4</v>
      </c>
      <c r="D450" s="6" t="s">
        <v>1064</v>
      </c>
      <c r="E450" s="4" t="s">
        <v>1</v>
      </c>
      <c r="F450" s="4" t="str" cm="1">
        <f t="array" ref="F450">_xlfn.IFS(
  E450="Mahuva", "Mahuva",
  E450="Jesar", "Mahuva",
  E450="Palitana", "Palitana",
  E450="Gariyadhar", "Palitana",
  E450="Talaja", "Talaja",
  E450="Vallabhipur", "Vallabhipur",
  E450="Umrala", "Vallabhipur",
  E450="Shihor", "Shihor",
  E450="Ghogha", "Bhavnagar",
  E450="Bhavnagar", "Bhavnagar"
)</f>
        <v>Vallabhipur</v>
      </c>
      <c r="G450" s="4" t="s">
        <v>206</v>
      </c>
      <c r="H450" s="4">
        <v>270981</v>
      </c>
      <c r="I450" s="4">
        <v>1</v>
      </c>
      <c r="J450" s="5">
        <v>46052</v>
      </c>
      <c r="K450" s="5">
        <v>46062</v>
      </c>
      <c r="L450" s="5">
        <f>K450+1</f>
        <v>46063</v>
      </c>
      <c r="M450" s="7">
        <v>1251587.29</v>
      </c>
      <c r="N450" s="7">
        <v>1074237.3700000001</v>
      </c>
      <c r="O450" s="8">
        <v>-14.17</v>
      </c>
      <c r="P450" s="8" t="str">
        <f>IF(O450&lt;0,"Below",IF(O450&gt;0,"Above","Equals"))</f>
        <v>Below</v>
      </c>
      <c r="Q450" s="4" t="s">
        <v>1031</v>
      </c>
      <c r="R450" s="5"/>
      <c r="S450" s="15"/>
      <c r="U450" s="12">
        <v>3</v>
      </c>
      <c r="V450" s="4">
        <v>386</v>
      </c>
      <c r="W450" s="14">
        <v>46101</v>
      </c>
      <c r="X450" s="4"/>
      <c r="Y450" s="13"/>
      <c r="Z450" s="13"/>
      <c r="AA450" s="4"/>
      <c r="AB450" s="4"/>
      <c r="AD450" s="9"/>
      <c r="AE450" s="5"/>
      <c r="AF450" s="11"/>
      <c r="AG450" s="11"/>
      <c r="AI450" s="9"/>
      <c r="AJ450" s="11"/>
      <c r="AK450" s="4"/>
    </row>
    <row r="451" spans="1:38" ht="43.5">
      <c r="A451" s="4" t="s">
        <v>50</v>
      </c>
      <c r="B451" s="4">
        <v>28</v>
      </c>
      <c r="C451" s="4">
        <v>5</v>
      </c>
      <c r="D451" s="6" t="s">
        <v>1065</v>
      </c>
      <c r="E451" s="4" t="s">
        <v>1</v>
      </c>
      <c r="F451" s="4" t="str" cm="1">
        <f t="array" ref="F451">_xlfn.IFS(
  E451="Mahuva", "Mahuva",
  E451="Jesar", "Mahuva",
  E451="Palitana", "Palitana",
  E451="Gariyadhar", "Palitana",
  E451="Talaja", "Talaja",
  E451="Vallabhipur", "Vallabhipur",
  E451="Umrala", "Vallabhipur",
  E451="Shihor", "Shihor",
  E451="Ghogha", "Bhavnagar",
  E451="Bhavnagar", "Bhavnagar"
)</f>
        <v>Vallabhipur</v>
      </c>
      <c r="G451" s="4" t="s">
        <v>206</v>
      </c>
      <c r="H451" s="4">
        <v>270982</v>
      </c>
      <c r="I451" s="4">
        <v>1</v>
      </c>
      <c r="J451" s="5">
        <v>46052</v>
      </c>
      <c r="K451" s="5">
        <v>46062</v>
      </c>
      <c r="L451" s="5">
        <f>K451+1</f>
        <v>46063</v>
      </c>
      <c r="M451" s="7">
        <v>1251587.29</v>
      </c>
      <c r="N451" s="7">
        <v>1074237.3700000001</v>
      </c>
      <c r="O451" s="8">
        <v>-14.17</v>
      </c>
      <c r="P451" s="8" t="str">
        <f>IF(O451&lt;0,"Below",IF(O451&gt;0,"Above","Equals"))</f>
        <v>Below</v>
      </c>
      <c r="Q451" s="4" t="s">
        <v>1031</v>
      </c>
      <c r="R451" s="5"/>
      <c r="S451" s="15"/>
      <c r="U451" s="12">
        <v>3</v>
      </c>
      <c r="V451" s="4">
        <v>387</v>
      </c>
      <c r="W451" s="14">
        <v>46101</v>
      </c>
      <c r="X451" s="4" t="s">
        <v>1126</v>
      </c>
      <c r="Y451" s="13">
        <v>22</v>
      </c>
      <c r="Z451" s="26">
        <v>46161</v>
      </c>
      <c r="AA451" s="4" t="s">
        <v>299</v>
      </c>
      <c r="AB451" s="4" t="s">
        <v>1174</v>
      </c>
      <c r="AC451" s="33" t="s">
        <v>1175</v>
      </c>
      <c r="AD451" s="9">
        <v>54000</v>
      </c>
      <c r="AE451" s="5">
        <v>46141</v>
      </c>
      <c r="AF451" s="4" t="s">
        <v>299</v>
      </c>
      <c r="AG451" s="4" t="s">
        <v>1174</v>
      </c>
      <c r="AH451" s="33" t="s">
        <v>1176</v>
      </c>
      <c r="AI451" s="9">
        <v>11000</v>
      </c>
      <c r="AJ451" s="5">
        <v>46141</v>
      </c>
      <c r="AK451" s="4">
        <v>580</v>
      </c>
      <c r="AL451" s="26">
        <v>46161</v>
      </c>
    </row>
    <row r="452" spans="1:38" ht="43.5">
      <c r="A452" s="4" t="s">
        <v>50</v>
      </c>
      <c r="B452" s="4">
        <v>28</v>
      </c>
      <c r="C452" s="4">
        <v>6</v>
      </c>
      <c r="D452" s="6" t="s">
        <v>1066</v>
      </c>
      <c r="E452" s="4" t="s">
        <v>207</v>
      </c>
      <c r="F452" s="4" t="str" cm="1">
        <f t="array" ref="F452">_xlfn.IFS(
  E452="Mahuva", "Mahuva",
  E452="Jesar", "Mahuva",
  E452="Palitana", "Palitana",
  E452="Gariyadhar", "Palitana",
  E452="Talaja", "Talaja",
  E452="Vallabhipur", "Vallabhipur",
  E452="Umrala", "Vallabhipur",
  E452="Shihor", "Shihor",
  E452="Ghogha", "Bhavnagar",
  E452="Bhavnagar", "Bhavnagar"
)</f>
        <v>Palitana</v>
      </c>
      <c r="G452" s="4" t="s">
        <v>206</v>
      </c>
      <c r="H452" s="4">
        <v>270983</v>
      </c>
      <c r="I452" s="4">
        <v>1</v>
      </c>
      <c r="J452" s="5">
        <v>46052</v>
      </c>
      <c r="K452" s="5">
        <v>46062</v>
      </c>
      <c r="L452" s="5">
        <f>K452+1</f>
        <v>46063</v>
      </c>
      <c r="M452" s="7">
        <v>1251587.29</v>
      </c>
      <c r="N452" s="7">
        <v>1084500.3899999999</v>
      </c>
      <c r="O452" s="8">
        <v>-13.35</v>
      </c>
      <c r="P452" s="8" t="str">
        <f>IF(O452&lt;0,"Below",IF(O452&gt;0,"Above","Equals"))</f>
        <v>Below</v>
      </c>
      <c r="Q452" s="4" t="s">
        <v>1007</v>
      </c>
      <c r="R452" s="5"/>
      <c r="S452" s="15"/>
      <c r="U452" s="12">
        <v>3</v>
      </c>
      <c r="V452" s="4">
        <v>388</v>
      </c>
      <c r="W452" s="14">
        <v>46101</v>
      </c>
      <c r="X452" s="4"/>
      <c r="Y452" s="13"/>
      <c r="Z452" s="13"/>
      <c r="AA452" s="4"/>
      <c r="AB452" s="4"/>
      <c r="AD452" s="9"/>
      <c r="AE452" s="5"/>
      <c r="AF452" s="11"/>
      <c r="AG452" s="11"/>
      <c r="AI452" s="9"/>
      <c r="AJ452" s="11"/>
      <c r="AK452" s="4"/>
    </row>
    <row r="453" spans="1:38" ht="29">
      <c r="A453" s="4" t="s">
        <v>50</v>
      </c>
      <c r="B453" s="4">
        <v>28</v>
      </c>
      <c r="C453" s="4">
        <v>7</v>
      </c>
      <c r="D453" s="6" t="s">
        <v>1067</v>
      </c>
      <c r="E453" s="4" t="s">
        <v>1</v>
      </c>
      <c r="F453" s="4" t="str" cm="1">
        <f t="array" ref="F453">_xlfn.IFS(
  E453="Mahuva", "Mahuva",
  E453="Jesar", "Mahuva",
  E453="Palitana", "Palitana",
  E453="Gariyadhar", "Palitana",
  E453="Talaja", "Talaja",
  E453="Vallabhipur", "Vallabhipur",
  E453="Umrala", "Vallabhipur",
  E453="Shihor", "Shihor",
  E453="Ghogha", "Bhavnagar",
  E453="Bhavnagar", "Bhavnagar"
)</f>
        <v>Vallabhipur</v>
      </c>
      <c r="G453" s="4" t="s">
        <v>206</v>
      </c>
      <c r="H453" s="4">
        <v>270984</v>
      </c>
      <c r="I453" s="4">
        <v>1</v>
      </c>
      <c r="J453" s="5">
        <v>46052</v>
      </c>
      <c r="K453" s="5">
        <v>46062</v>
      </c>
      <c r="L453" s="5">
        <f>K453+1</f>
        <v>46063</v>
      </c>
      <c r="M453" s="7">
        <v>1500501.75</v>
      </c>
      <c r="N453" s="7">
        <v>1307237.1200000001</v>
      </c>
      <c r="O453" s="8">
        <v>-12.88</v>
      </c>
      <c r="P453" s="8" t="str">
        <f>IF(O453&lt;0,"Below",IF(O453&gt;0,"Above","Equals"))</f>
        <v>Below</v>
      </c>
      <c r="Q453" s="4" t="s">
        <v>353</v>
      </c>
      <c r="R453" s="5"/>
      <c r="S453" s="15"/>
      <c r="U453" s="12">
        <v>3</v>
      </c>
      <c r="V453" s="4">
        <v>354</v>
      </c>
      <c r="W453" s="14">
        <v>46094</v>
      </c>
      <c r="X453" s="4"/>
      <c r="Y453" s="13"/>
      <c r="Z453" s="13"/>
      <c r="AA453" s="4"/>
      <c r="AB453" s="4"/>
      <c r="AD453" s="9"/>
      <c r="AE453" s="5"/>
      <c r="AF453" s="11"/>
      <c r="AG453" s="11"/>
      <c r="AI453" s="9"/>
      <c r="AJ453" s="11"/>
      <c r="AK453" s="4"/>
    </row>
    <row r="454" spans="1:38" ht="29">
      <c r="A454" s="4" t="s">
        <v>50</v>
      </c>
      <c r="B454" s="4">
        <v>28</v>
      </c>
      <c r="C454" s="4">
        <v>8</v>
      </c>
      <c r="D454" s="6" t="s">
        <v>1068</v>
      </c>
      <c r="E454" s="4" t="s">
        <v>279</v>
      </c>
      <c r="F454" s="4" t="str" cm="1">
        <f t="array" ref="F454">_xlfn.IFS(
  E454="Mahuva", "Mahuva",
  E454="Jesar", "Mahuva",
  E454="Palitana", "Palitana",
  E454="Gariyadhar", "Palitana",
  E454="Talaja", "Talaja",
  E454="Vallabhipur", "Vallabhipur",
  E454="Umrala", "Vallabhipur",
  E454="Shihor", "Shihor",
  E454="Ghogha", "Bhavnagar",
  E454="Bhavnagar", "Bhavnagar"
)</f>
        <v>Bhavnagar</v>
      </c>
      <c r="G454" s="4" t="s">
        <v>206</v>
      </c>
      <c r="H454" s="4">
        <v>270986</v>
      </c>
      <c r="I454" s="4">
        <v>1</v>
      </c>
      <c r="J454" s="5">
        <v>46052</v>
      </c>
      <c r="K454" s="5">
        <v>46062</v>
      </c>
      <c r="L454" s="5">
        <f>K454+1</f>
        <v>46063</v>
      </c>
      <c r="M454" s="7">
        <v>1038797.94</v>
      </c>
      <c r="N454" s="7">
        <v>951538.91</v>
      </c>
      <c r="O454" s="8">
        <v>-8.4</v>
      </c>
      <c r="P454" s="8" t="str">
        <f>IF(O454&lt;0,"Below",IF(O454&gt;0,"Above","Equals"))</f>
        <v>Below</v>
      </c>
      <c r="Q454" s="4" t="s">
        <v>1032</v>
      </c>
      <c r="R454" s="5"/>
      <c r="S454" s="15"/>
      <c r="U454" s="12">
        <v>3</v>
      </c>
      <c r="V454" s="4">
        <v>389</v>
      </c>
      <c r="W454" s="14">
        <v>46101</v>
      </c>
      <c r="X454" s="13" t="s">
        <v>50</v>
      </c>
      <c r="Y454" s="13">
        <v>350</v>
      </c>
      <c r="Z454" s="11">
        <v>46108</v>
      </c>
      <c r="AA454" s="4" t="s">
        <v>299</v>
      </c>
      <c r="AB454" s="4" t="s">
        <v>944</v>
      </c>
      <c r="AC454" s="33" t="s">
        <v>1116</v>
      </c>
      <c r="AD454" s="9">
        <v>48000</v>
      </c>
      <c r="AE454" s="5">
        <v>46108</v>
      </c>
      <c r="AF454" s="11"/>
      <c r="AG454" s="11"/>
      <c r="AI454" s="9"/>
      <c r="AJ454" s="11"/>
      <c r="AK454" s="4">
        <v>433</v>
      </c>
      <c r="AL454" s="11">
        <v>46108</v>
      </c>
    </row>
    <row r="455" spans="1:38" ht="29">
      <c r="A455" s="4" t="s">
        <v>50</v>
      </c>
      <c r="B455" s="4">
        <v>28</v>
      </c>
      <c r="C455" s="4">
        <v>9</v>
      </c>
      <c r="D455" s="6" t="s">
        <v>1069</v>
      </c>
      <c r="E455" s="4" t="s">
        <v>207</v>
      </c>
      <c r="F455" s="4" t="str" cm="1">
        <f t="array" ref="F455">_xlfn.IFS(
  E455="Mahuva", "Mahuva",
  E455="Jesar", "Mahuva",
  E455="Palitana", "Palitana",
  E455="Gariyadhar", "Palitana",
  E455="Talaja", "Talaja",
  E455="Vallabhipur", "Vallabhipur",
  E455="Umrala", "Vallabhipur",
  E455="Shihor", "Shihor",
  E455="Ghogha", "Bhavnagar",
  E455="Bhavnagar", "Bhavnagar"
)</f>
        <v>Palitana</v>
      </c>
      <c r="G455" s="4" t="s">
        <v>206</v>
      </c>
      <c r="H455" s="4">
        <v>270987</v>
      </c>
      <c r="I455" s="4">
        <v>1</v>
      </c>
      <c r="J455" s="5">
        <v>46052</v>
      </c>
      <c r="K455" s="5">
        <v>46062</v>
      </c>
      <c r="L455" s="5">
        <f>K455+1</f>
        <v>46063</v>
      </c>
      <c r="M455" s="7">
        <v>1500501.75</v>
      </c>
      <c r="N455" s="7">
        <v>1294032.71</v>
      </c>
      <c r="O455" s="8">
        <v>-13.76</v>
      </c>
      <c r="P455" s="8" t="str">
        <f>IF(O455&lt;0,"Below",IF(O455&gt;0,"Above","Equals"))</f>
        <v>Below</v>
      </c>
      <c r="Q455" s="4" t="s">
        <v>1007</v>
      </c>
      <c r="R455" s="5"/>
      <c r="S455" s="15"/>
      <c r="U455" s="12">
        <v>3</v>
      </c>
      <c r="V455" s="4">
        <v>390</v>
      </c>
      <c r="W455" s="14">
        <v>46101</v>
      </c>
      <c r="X455" s="4"/>
      <c r="Y455" s="13"/>
      <c r="Z455" s="13"/>
      <c r="AA455" s="4"/>
      <c r="AB455" s="4"/>
      <c r="AD455" s="9"/>
      <c r="AE455" s="5"/>
      <c r="AF455" s="11"/>
      <c r="AG455" s="11"/>
      <c r="AI455" s="9"/>
      <c r="AJ455" s="11"/>
      <c r="AK455" s="4"/>
    </row>
    <row r="456" spans="1:38" ht="43.5">
      <c r="A456" s="4" t="s">
        <v>50</v>
      </c>
      <c r="B456" s="4">
        <v>28</v>
      </c>
      <c r="C456" s="4">
        <v>10</v>
      </c>
      <c r="D456" s="6" t="s">
        <v>1070</v>
      </c>
      <c r="E456" s="4" t="s">
        <v>207</v>
      </c>
      <c r="F456" s="4" t="str" cm="1">
        <f t="array" ref="F456">_xlfn.IFS(
  E456="Mahuva", "Mahuva",
  E456="Jesar", "Mahuva",
  E456="Palitana", "Palitana",
  E456="Gariyadhar", "Palitana",
  E456="Talaja", "Talaja",
  E456="Vallabhipur", "Vallabhipur",
  E456="Umrala", "Vallabhipur",
  E456="Shihor", "Shihor",
  E456="Ghogha", "Bhavnagar",
  E456="Bhavnagar", "Bhavnagar"
)</f>
        <v>Palitana</v>
      </c>
      <c r="G456" s="4" t="s">
        <v>206</v>
      </c>
      <c r="H456" s="4">
        <v>270989</v>
      </c>
      <c r="I456" s="4">
        <v>1</v>
      </c>
      <c r="J456" s="5">
        <v>46052</v>
      </c>
      <c r="K456" s="5">
        <v>46062</v>
      </c>
      <c r="L456" s="5">
        <f>K456+1</f>
        <v>46063</v>
      </c>
      <c r="M456" s="7">
        <v>1312123.25</v>
      </c>
      <c r="N456" s="7">
        <v>1165034.23</v>
      </c>
      <c r="O456" s="8">
        <v>-11.21</v>
      </c>
      <c r="P456" s="8" t="str">
        <f>IF(O456&lt;0,"Below",IF(O456&gt;0,"Above","Equals"))</f>
        <v>Below</v>
      </c>
      <c r="Q456" s="4" t="s">
        <v>1033</v>
      </c>
      <c r="R456" s="5"/>
      <c r="S456" s="15"/>
      <c r="U456" s="12">
        <v>3</v>
      </c>
      <c r="V456" s="4">
        <v>391</v>
      </c>
      <c r="W456" s="14">
        <v>46101</v>
      </c>
      <c r="X456" s="4" t="s">
        <v>1126</v>
      </c>
      <c r="Y456" s="13">
        <v>33</v>
      </c>
      <c r="Z456" s="26">
        <v>46192</v>
      </c>
      <c r="AA456" s="4" t="s">
        <v>299</v>
      </c>
      <c r="AB456" s="4" t="s">
        <v>725</v>
      </c>
      <c r="AC456" s="33" t="s">
        <v>1221</v>
      </c>
      <c r="AD456" s="9">
        <v>59000</v>
      </c>
      <c r="AE456" s="5">
        <v>46190</v>
      </c>
      <c r="AF456" s="4" t="s">
        <v>299</v>
      </c>
      <c r="AG456" s="4" t="s">
        <v>725</v>
      </c>
      <c r="AH456" s="33" t="s">
        <v>1220</v>
      </c>
      <c r="AI456" s="9">
        <v>4000</v>
      </c>
      <c r="AJ456" s="5">
        <v>46190</v>
      </c>
      <c r="AK456" s="4">
        <v>690</v>
      </c>
      <c r="AL456" s="14">
        <v>46192</v>
      </c>
    </row>
    <row r="457" spans="1:38" ht="43.5">
      <c r="A457" s="4" t="s">
        <v>50</v>
      </c>
      <c r="B457" s="4">
        <v>28</v>
      </c>
      <c r="C457" s="4">
        <v>11</v>
      </c>
      <c r="D457" s="6" t="s">
        <v>1071</v>
      </c>
      <c r="E457" s="4" t="s">
        <v>3</v>
      </c>
      <c r="F457" s="4" t="str" cm="1">
        <f t="array" ref="F457">_xlfn.IFS(
  E457="Mahuva", "Mahuva",
  E457="Jesar", "Mahuva",
  E457="Palitana", "Palitana",
  E457="Gariyadhar", "Palitana",
  E457="Talaja", "Talaja",
  E457="Vallabhipur", "Vallabhipur",
  E457="Umrala", "Vallabhipur",
  E457="Shihor", "Shihor",
  E457="Ghogha", "Bhavnagar",
  E457="Bhavnagar", "Bhavnagar"
)</f>
        <v>Talaja</v>
      </c>
      <c r="G457" s="4" t="s">
        <v>206</v>
      </c>
      <c r="H457" s="4">
        <v>270991</v>
      </c>
      <c r="I457" s="4">
        <v>1</v>
      </c>
      <c r="J457" s="5">
        <v>46052</v>
      </c>
      <c r="K457" s="5">
        <v>46062</v>
      </c>
      <c r="L457" s="5">
        <f>K457+1</f>
        <v>46063</v>
      </c>
      <c r="M457" s="7">
        <v>745008.06</v>
      </c>
      <c r="N457" s="7">
        <v>692037.99</v>
      </c>
      <c r="O457" s="8">
        <v>-7.11</v>
      </c>
      <c r="P457" s="8" t="str">
        <f>IF(O457&lt;0,"Below",IF(O457&gt;0,"Above","Equals"))</f>
        <v>Below</v>
      </c>
      <c r="Q457" s="4" t="s">
        <v>1033</v>
      </c>
      <c r="R457" s="5"/>
      <c r="S457" s="15"/>
      <c r="U457" s="12"/>
      <c r="V457" s="4"/>
      <c r="W457" s="14" t="s">
        <v>1093</v>
      </c>
      <c r="X457" s="4"/>
      <c r="Y457" s="13"/>
      <c r="Z457" s="13"/>
      <c r="AA457" s="4"/>
      <c r="AB457" s="4"/>
      <c r="AD457" s="9"/>
      <c r="AE457" s="5"/>
      <c r="AF457" s="11"/>
      <c r="AG457" s="11"/>
      <c r="AI457" s="9"/>
      <c r="AJ457" s="11"/>
      <c r="AK457" s="4"/>
    </row>
    <row r="458" spans="1:38" ht="43.5">
      <c r="A458" s="4" t="s">
        <v>50</v>
      </c>
      <c r="B458" s="4">
        <v>28</v>
      </c>
      <c r="C458" s="4">
        <v>12</v>
      </c>
      <c r="D458" s="6" t="s">
        <v>1036</v>
      </c>
      <c r="E458" s="4" t="s">
        <v>228</v>
      </c>
      <c r="F458" s="4" t="str" cm="1">
        <f t="array" ref="F458">_xlfn.IFS(
  E458="Mahuva", "Mahuva",
  E458="Jesar", "Mahuva",
  E458="Palitana", "Palitana",
  E458="Gariyadhar", "Palitana",
  E458="Talaja", "Talaja",
  E458="Vallabhipur", "Vallabhipur",
  E458="Umrala", "Vallabhipur",
  E458="Shihor", "Shihor",
  E458="Ghogha", "Bhavnagar",
  E458="Bhavnagar", "Bhavnagar"
)</f>
        <v>Mahuva</v>
      </c>
      <c r="G458" s="4" t="s">
        <v>206</v>
      </c>
      <c r="H458" s="4">
        <v>270993</v>
      </c>
      <c r="I458" s="4">
        <v>1</v>
      </c>
      <c r="J458" s="5">
        <v>46052</v>
      </c>
      <c r="K458" s="5">
        <v>46062</v>
      </c>
      <c r="L458" s="5">
        <f>K458+1</f>
        <v>46063</v>
      </c>
      <c r="O458" s="8"/>
      <c r="P458" s="8" t="str">
        <f>IF(O458&lt;0,"Below",IF(O458&gt;0,"Above","Equals"))</f>
        <v>Equals</v>
      </c>
      <c r="R458" s="5"/>
      <c r="S458" s="15"/>
      <c r="U458" s="12"/>
      <c r="V458" s="4"/>
      <c r="X458" s="4"/>
      <c r="Y458" s="13"/>
      <c r="Z458" s="13"/>
      <c r="AA458" s="4"/>
      <c r="AB458" s="4"/>
      <c r="AD458" s="9"/>
      <c r="AE458" s="5"/>
      <c r="AF458" s="11"/>
      <c r="AG458" s="11"/>
      <c r="AI458" s="9"/>
      <c r="AJ458" s="11"/>
      <c r="AK458" s="4"/>
    </row>
    <row r="459" spans="1:38" ht="43.5">
      <c r="A459" s="4" t="s">
        <v>50</v>
      </c>
      <c r="B459" s="4">
        <v>28</v>
      </c>
      <c r="C459" s="4">
        <v>13</v>
      </c>
      <c r="D459" s="6" t="s">
        <v>1037</v>
      </c>
      <c r="E459" s="4" t="s">
        <v>10</v>
      </c>
      <c r="F459" s="4" t="str" cm="1">
        <f t="array" ref="F459">_xlfn.IFS(
  E459="Mahuva", "Mahuva",
  E459="Jesar", "Mahuva",
  E459="Palitana", "Palitana",
  E459="Gariyadhar", "Palitana",
  E459="Talaja", "Talaja",
  E459="Vallabhipur", "Vallabhipur",
  E459="Umrala", "Vallabhipur",
  E459="Shihor", "Shihor",
  E459="Ghogha", "Bhavnagar",
  E459="Bhavnagar", "Bhavnagar"
)</f>
        <v>Mahuva</v>
      </c>
      <c r="G459" s="4" t="s">
        <v>206</v>
      </c>
      <c r="H459" s="4">
        <v>270995</v>
      </c>
      <c r="I459" s="4">
        <v>1</v>
      </c>
      <c r="J459" s="5">
        <v>46052</v>
      </c>
      <c r="K459" s="5">
        <v>46062</v>
      </c>
      <c r="L459" s="5">
        <f>K459+1</f>
        <v>46063</v>
      </c>
      <c r="O459" s="8"/>
      <c r="P459" s="8" t="str">
        <f>IF(O459&lt;0,"Below",IF(O459&gt;0,"Above","Equals"))</f>
        <v>Equals</v>
      </c>
      <c r="R459" s="5"/>
      <c r="S459" s="15"/>
      <c r="U459" s="12"/>
      <c r="V459" s="4"/>
      <c r="X459" s="4"/>
      <c r="Y459" s="13"/>
      <c r="Z459" s="13"/>
      <c r="AA459" s="4"/>
      <c r="AB459" s="4"/>
      <c r="AD459" s="9"/>
      <c r="AE459" s="5"/>
      <c r="AF459" s="11"/>
      <c r="AG459" s="11"/>
      <c r="AI459" s="9"/>
      <c r="AJ459" s="11"/>
      <c r="AK459" s="4"/>
    </row>
    <row r="460" spans="1:38" ht="43.5">
      <c r="A460" s="4" t="s">
        <v>50</v>
      </c>
      <c r="B460" s="4">
        <v>28</v>
      </c>
      <c r="C460" s="4">
        <v>14</v>
      </c>
      <c r="D460" s="6" t="s">
        <v>1072</v>
      </c>
      <c r="E460" s="4" t="s">
        <v>3</v>
      </c>
      <c r="F460" s="4" t="str" cm="1">
        <f t="array" ref="F460">_xlfn.IFS(
  E460="Mahuva", "Mahuva",
  E460="Jesar", "Mahuva",
  E460="Palitana", "Palitana",
  E460="Gariyadhar", "Palitana",
  E460="Talaja", "Talaja",
  E460="Vallabhipur", "Vallabhipur",
  E460="Umrala", "Vallabhipur",
  E460="Shihor", "Shihor",
  E460="Ghogha", "Bhavnagar",
  E460="Bhavnagar", "Bhavnagar"
)</f>
        <v>Talaja</v>
      </c>
      <c r="G460" s="4" t="s">
        <v>206</v>
      </c>
      <c r="H460" s="4">
        <v>271001</v>
      </c>
      <c r="I460" s="4">
        <v>1</v>
      </c>
      <c r="J460" s="5">
        <v>46052</v>
      </c>
      <c r="K460" s="5">
        <v>46062</v>
      </c>
      <c r="L460" s="5">
        <f>K460+1</f>
        <v>46063</v>
      </c>
      <c r="M460" s="7">
        <v>2058481.37</v>
      </c>
      <c r="N460" s="7">
        <v>1786555.98</v>
      </c>
      <c r="O460" s="8">
        <v>-13.21</v>
      </c>
      <c r="P460" s="8" t="str">
        <f>IF(O460&lt;0,"Below",IF(O460&gt;0,"Above","Equals"))</f>
        <v>Below</v>
      </c>
      <c r="Q460" s="4" t="s">
        <v>1033</v>
      </c>
      <c r="R460" s="5"/>
      <c r="S460" s="15"/>
      <c r="U460" s="12">
        <v>3</v>
      </c>
      <c r="V460" s="4">
        <v>416</v>
      </c>
      <c r="W460" s="14">
        <v>46108</v>
      </c>
      <c r="X460" s="4" t="s">
        <v>1126</v>
      </c>
      <c r="Y460" s="13">
        <v>26</v>
      </c>
      <c r="Z460" s="26">
        <v>46184</v>
      </c>
      <c r="AA460" s="4" t="s">
        <v>299</v>
      </c>
      <c r="AB460" s="4" t="s">
        <v>725</v>
      </c>
      <c r="AC460" s="33" t="s">
        <v>1189</v>
      </c>
      <c r="AD460" s="9">
        <v>90000</v>
      </c>
      <c r="AE460" s="5">
        <v>46175</v>
      </c>
      <c r="AF460" s="4" t="s">
        <v>299</v>
      </c>
      <c r="AG460" s="4" t="s">
        <v>725</v>
      </c>
      <c r="AH460" s="33" t="s">
        <v>1190</v>
      </c>
      <c r="AI460" s="9">
        <v>14000</v>
      </c>
      <c r="AJ460" s="5">
        <v>46175</v>
      </c>
      <c r="AK460" s="4">
        <v>667</v>
      </c>
      <c r="AL460" s="14">
        <v>46184</v>
      </c>
    </row>
    <row r="461" spans="1:38" ht="29">
      <c r="A461" s="4" t="s">
        <v>50</v>
      </c>
      <c r="B461" s="4">
        <v>28</v>
      </c>
      <c r="C461" s="4">
        <v>15</v>
      </c>
      <c r="D461" s="6" t="s">
        <v>1073</v>
      </c>
      <c r="E461" s="4" t="s">
        <v>1</v>
      </c>
      <c r="F461" s="4" t="str" cm="1">
        <f t="array" ref="F461">_xlfn.IFS(
  E461="Mahuva", "Mahuva",
  E461="Jesar", "Mahuva",
  E461="Palitana", "Palitana",
  E461="Gariyadhar", "Palitana",
  E461="Talaja", "Talaja",
  E461="Vallabhipur", "Vallabhipur",
  E461="Umrala", "Vallabhipur",
  E461="Shihor", "Shihor",
  E461="Ghogha", "Bhavnagar",
  E461="Bhavnagar", "Bhavnagar"
)</f>
        <v>Vallabhipur</v>
      </c>
      <c r="G461" s="4" t="s">
        <v>206</v>
      </c>
      <c r="H461" s="4">
        <v>270996</v>
      </c>
      <c r="I461" s="4">
        <v>1</v>
      </c>
      <c r="J461" s="5">
        <v>46052</v>
      </c>
      <c r="K461" s="5">
        <v>46062</v>
      </c>
      <c r="L461" s="5">
        <f>K461+1</f>
        <v>46063</v>
      </c>
      <c r="M461" s="7">
        <v>566498.80000000005</v>
      </c>
      <c r="N461" s="7">
        <v>503560.78</v>
      </c>
      <c r="O461" s="8">
        <v>-11.11</v>
      </c>
      <c r="P461" s="8" t="str">
        <f>IF(O461&lt;0,"Below",IF(O461&gt;0,"Above","Equals"))</f>
        <v>Below</v>
      </c>
      <c r="Q461" s="4" t="s">
        <v>353</v>
      </c>
      <c r="R461" s="5"/>
      <c r="S461" s="15"/>
      <c r="U461" s="12">
        <v>2</v>
      </c>
      <c r="V461" s="4">
        <v>392</v>
      </c>
      <c r="W461" s="14">
        <v>46101</v>
      </c>
      <c r="X461" s="4"/>
      <c r="Y461" s="13"/>
      <c r="Z461" s="13"/>
      <c r="AA461" s="4"/>
      <c r="AB461" s="4"/>
      <c r="AD461" s="9"/>
      <c r="AE461" s="5"/>
      <c r="AF461" s="11"/>
      <c r="AG461" s="11"/>
      <c r="AI461" s="9"/>
      <c r="AJ461" s="11"/>
      <c r="AK461" s="4"/>
    </row>
    <row r="462" spans="1:38" ht="29">
      <c r="A462" s="4" t="s">
        <v>50</v>
      </c>
      <c r="B462" s="4">
        <v>28</v>
      </c>
      <c r="C462" s="4">
        <v>16</v>
      </c>
      <c r="D462" s="6" t="s">
        <v>1074</v>
      </c>
      <c r="E462" s="4" t="s">
        <v>1</v>
      </c>
      <c r="F462" s="4" t="str" cm="1">
        <f t="array" ref="F462">_xlfn.IFS(
  E462="Mahuva", "Mahuva",
  E462="Jesar", "Mahuva",
  E462="Palitana", "Palitana",
  E462="Gariyadhar", "Palitana",
  E462="Talaja", "Talaja",
  E462="Vallabhipur", "Vallabhipur",
  E462="Umrala", "Vallabhipur",
  E462="Shihor", "Shihor",
  E462="Ghogha", "Bhavnagar",
  E462="Bhavnagar", "Bhavnagar"
)</f>
        <v>Vallabhipur</v>
      </c>
      <c r="G462" s="4" t="s">
        <v>206</v>
      </c>
      <c r="H462" s="4">
        <v>270997</v>
      </c>
      <c r="I462" s="4">
        <v>1</v>
      </c>
      <c r="J462" s="5">
        <v>46052</v>
      </c>
      <c r="K462" s="5">
        <v>46062</v>
      </c>
      <c r="L462" s="5">
        <f>K462+1</f>
        <v>46063</v>
      </c>
      <c r="M462" s="7">
        <v>824317.25</v>
      </c>
      <c r="N462" s="7">
        <v>700669.66</v>
      </c>
      <c r="O462" s="8">
        <v>-15</v>
      </c>
      <c r="P462" s="8" t="str">
        <f>IF(O462&lt;0,"Below",IF(O462&gt;0,"Above","Equals"))</f>
        <v>Below</v>
      </c>
      <c r="Q462" s="4" t="s">
        <v>1031</v>
      </c>
      <c r="R462" s="5"/>
      <c r="S462" s="15"/>
      <c r="U462" s="12">
        <v>2</v>
      </c>
      <c r="V462" s="4">
        <v>393</v>
      </c>
      <c r="W462" s="14">
        <v>46101</v>
      </c>
      <c r="X462" s="4" t="s">
        <v>1126</v>
      </c>
      <c r="Y462" s="13">
        <v>23</v>
      </c>
      <c r="Z462" s="26">
        <v>46161</v>
      </c>
      <c r="AA462" s="4" t="s">
        <v>299</v>
      </c>
      <c r="AB462" s="4" t="s">
        <v>1174</v>
      </c>
      <c r="AC462" s="33" t="s">
        <v>1177</v>
      </c>
      <c r="AD462" s="9">
        <v>36000</v>
      </c>
      <c r="AE462" s="5">
        <v>46141</v>
      </c>
      <c r="AF462" s="4" t="s">
        <v>299</v>
      </c>
      <c r="AG462" s="4" t="s">
        <v>1174</v>
      </c>
      <c r="AH462" s="33" t="s">
        <v>1178</v>
      </c>
      <c r="AI462" s="9">
        <v>9000</v>
      </c>
      <c r="AJ462" s="5">
        <v>46141</v>
      </c>
      <c r="AK462" s="4">
        <v>581</v>
      </c>
      <c r="AL462" s="26">
        <v>46161</v>
      </c>
    </row>
    <row r="463" spans="1:38" ht="43.5">
      <c r="A463" s="4" t="s">
        <v>50</v>
      </c>
      <c r="B463" s="4">
        <v>28</v>
      </c>
      <c r="C463" s="4">
        <v>17</v>
      </c>
      <c r="D463" s="6" t="s">
        <v>1075</v>
      </c>
      <c r="E463" s="4" t="s">
        <v>228</v>
      </c>
      <c r="F463" s="4" t="str" cm="1">
        <f t="array" ref="F463">_xlfn.IFS(
  E463="Mahuva", "Mahuva",
  E463="Jesar", "Mahuva",
  E463="Palitana", "Palitana",
  E463="Gariyadhar", "Palitana",
  E463="Talaja", "Talaja",
  E463="Vallabhipur", "Vallabhipur",
  E463="Umrala", "Vallabhipur",
  E463="Shihor", "Shihor",
  E463="Ghogha", "Bhavnagar",
  E463="Bhavnagar", "Bhavnagar"
)</f>
        <v>Mahuva</v>
      </c>
      <c r="G463" s="4" t="s">
        <v>206</v>
      </c>
      <c r="H463" s="4">
        <v>271000</v>
      </c>
      <c r="I463" s="4">
        <v>1</v>
      </c>
      <c r="J463" s="5">
        <v>46052</v>
      </c>
      <c r="K463" s="5">
        <v>46062</v>
      </c>
      <c r="L463" s="5">
        <f>K463+1</f>
        <v>46063</v>
      </c>
      <c r="M463" s="7">
        <v>823557.03</v>
      </c>
      <c r="N463" s="7">
        <v>823557.03</v>
      </c>
      <c r="O463" s="8">
        <v>0</v>
      </c>
      <c r="P463" s="8" t="str">
        <f>IF(O463&lt;0,"Below",IF(O463&gt;0,"Above","Equals"))</f>
        <v>Equals</v>
      </c>
      <c r="Q463" s="4" t="s">
        <v>782</v>
      </c>
      <c r="R463" s="5"/>
      <c r="S463" s="15"/>
      <c r="U463" s="12">
        <v>2</v>
      </c>
      <c r="V463" s="4">
        <v>582</v>
      </c>
      <c r="W463" s="14">
        <v>46162</v>
      </c>
      <c r="X463" s="4" t="s">
        <v>1126</v>
      </c>
      <c r="Y463" s="13">
        <v>30</v>
      </c>
      <c r="Z463" s="26">
        <v>46188</v>
      </c>
      <c r="AA463" s="4" t="s">
        <v>299</v>
      </c>
      <c r="AB463" s="4" t="s">
        <v>1054</v>
      </c>
      <c r="AC463" s="33" t="s">
        <v>1216</v>
      </c>
      <c r="AD463" s="9">
        <v>42000</v>
      </c>
      <c r="AE463" s="5">
        <v>46176</v>
      </c>
      <c r="AF463" s="11"/>
      <c r="AG463" s="11"/>
      <c r="AI463" s="9"/>
      <c r="AJ463" s="11"/>
      <c r="AK463" s="4">
        <v>676</v>
      </c>
      <c r="AL463" s="26">
        <v>46188</v>
      </c>
    </row>
    <row r="464" spans="1:38" ht="43.5">
      <c r="A464" s="4" t="s">
        <v>50</v>
      </c>
      <c r="B464" s="4">
        <v>29</v>
      </c>
      <c r="C464" s="4">
        <v>1</v>
      </c>
      <c r="D464" s="6" t="s">
        <v>1038</v>
      </c>
      <c r="E464" s="4" t="s">
        <v>207</v>
      </c>
      <c r="F464" s="4" t="str" cm="1">
        <f t="array" ref="F464">_xlfn.IFS(
  E464="Mahuva", "Mahuva",
  E464="Jesar", "Mahuva",
  E464="Palitana", "Palitana",
  E464="Gariyadhar", "Palitana",
  E464="Talaja", "Talaja",
  E464="Vallabhipur", "Vallabhipur",
  E464="Umrala", "Vallabhipur",
  E464="Shihor", "Shihor",
  E464="Ghogha", "Bhavnagar",
  E464="Bhavnagar", "Bhavnagar"
)</f>
        <v>Palitana</v>
      </c>
      <c r="G464" s="4" t="s">
        <v>206</v>
      </c>
      <c r="H464" s="4">
        <v>273742</v>
      </c>
      <c r="I464" s="4">
        <v>1</v>
      </c>
      <c r="J464" s="5">
        <v>46059</v>
      </c>
      <c r="K464" s="5">
        <v>46069</v>
      </c>
      <c r="L464" s="5">
        <f>K464+1</f>
        <v>46070</v>
      </c>
      <c r="M464" s="7">
        <v>1251587.29</v>
      </c>
      <c r="N464" s="7">
        <v>1077992.1299999999</v>
      </c>
      <c r="O464" s="8">
        <v>-13.87</v>
      </c>
      <c r="P464" s="8" t="str">
        <f>IF(O464&lt;0,"Below",IF(O464&gt;0,"Above","Equals"))</f>
        <v>Below</v>
      </c>
      <c r="Q464" s="4" t="s">
        <v>1007</v>
      </c>
      <c r="R464" s="5"/>
      <c r="S464" s="15"/>
      <c r="U464" s="12">
        <v>3</v>
      </c>
      <c r="V464" s="4">
        <v>394</v>
      </c>
      <c r="W464" s="14">
        <v>46101</v>
      </c>
      <c r="X464" s="4"/>
      <c r="Y464" s="13"/>
      <c r="Z464" s="13"/>
      <c r="AA464" s="4"/>
      <c r="AB464" s="4"/>
      <c r="AD464" s="9"/>
      <c r="AE464" s="5"/>
      <c r="AF464" s="11"/>
      <c r="AG464" s="11"/>
      <c r="AI464" s="9"/>
      <c r="AJ464" s="11"/>
      <c r="AK464" s="4"/>
    </row>
    <row r="465" spans="1:38" ht="43.5">
      <c r="A465" s="4" t="s">
        <v>50</v>
      </c>
      <c r="B465" s="4">
        <v>29</v>
      </c>
      <c r="C465" s="4">
        <v>2</v>
      </c>
      <c r="D465" s="6" t="s">
        <v>1039</v>
      </c>
      <c r="E465" s="4" t="s">
        <v>207</v>
      </c>
      <c r="F465" s="4" t="str" cm="1">
        <f t="array" ref="F465">_xlfn.IFS(
  E465="Mahuva", "Mahuva",
  E465="Jesar", "Mahuva",
  E465="Palitana", "Palitana",
  E465="Gariyadhar", "Palitana",
  E465="Talaja", "Talaja",
  E465="Vallabhipur", "Vallabhipur",
  E465="Umrala", "Vallabhipur",
  E465="Shihor", "Shihor",
  E465="Ghogha", "Bhavnagar",
  E465="Bhavnagar", "Bhavnagar"
)</f>
        <v>Palitana</v>
      </c>
      <c r="G465" s="4" t="s">
        <v>206</v>
      </c>
      <c r="H465" s="4">
        <v>273747</v>
      </c>
      <c r="I465" s="4">
        <v>1</v>
      </c>
      <c r="J465" s="5">
        <v>46059</v>
      </c>
      <c r="K465" s="5">
        <v>46069</v>
      </c>
      <c r="L465" s="5">
        <f>K465+1</f>
        <v>46070</v>
      </c>
      <c r="M465" s="7">
        <v>1312123.25</v>
      </c>
      <c r="N465" s="7">
        <v>1130131.76</v>
      </c>
      <c r="O465" s="8">
        <v>-13.87</v>
      </c>
      <c r="P465" s="8" t="str">
        <f>IF(O465&lt;0,"Below",IF(O465&gt;0,"Above","Equals"))</f>
        <v>Below</v>
      </c>
      <c r="Q465" s="4" t="s">
        <v>1007</v>
      </c>
      <c r="R465" s="5"/>
      <c r="S465" s="15"/>
      <c r="U465" s="12">
        <v>3</v>
      </c>
      <c r="V465" s="4">
        <v>395</v>
      </c>
      <c r="W465" s="14">
        <v>46101</v>
      </c>
      <c r="X465" s="4"/>
      <c r="Y465" s="13"/>
      <c r="Z465" s="13"/>
      <c r="AA465" s="4"/>
      <c r="AB465" s="4"/>
      <c r="AD465" s="9"/>
      <c r="AE465" s="5"/>
      <c r="AF465" s="11"/>
      <c r="AG465" s="11"/>
      <c r="AI465" s="9"/>
      <c r="AJ465" s="11"/>
      <c r="AK465" s="4"/>
    </row>
    <row r="466" spans="1:38" ht="29">
      <c r="A466" s="4" t="str">
        <f>A465</f>
        <v>2025-26</v>
      </c>
      <c r="B466" s="4">
        <f>B465</f>
        <v>29</v>
      </c>
      <c r="C466" s="4">
        <f>C465+1</f>
        <v>3</v>
      </c>
      <c r="D466" s="6" t="s">
        <v>1144</v>
      </c>
      <c r="E466" s="4" t="s">
        <v>11</v>
      </c>
      <c r="F466" s="4" t="str" cm="1">
        <f t="array" ref="F466">_xlfn.IFS(
  E466="Mahuva", "Mahuva",
  E466="Jesar", "Mahuva",
  E466="Palitana", "Palitana",
  E466="Gariyadhar", "Palitana",
  E466="Talaja", "Talaja",
  E466="Vallabhipur", "Vallabhipur",
  E466="Umrala", "Vallabhipur",
  E466="Shihor", "Shihor",
  E466="Ghogha", "Bhavnagar",
  E466="Bhavnagar", "Bhavnagar"
)</f>
        <v>Shihor</v>
      </c>
      <c r="G466" s="4" t="s">
        <v>206</v>
      </c>
      <c r="H466" s="4">
        <v>293749</v>
      </c>
      <c r="I466" s="4"/>
      <c r="M466" s="7">
        <v>1312123.25</v>
      </c>
      <c r="N466" s="7">
        <v>1114911.1299999999</v>
      </c>
      <c r="O466" s="8">
        <v>-15.03</v>
      </c>
      <c r="P466" s="8" t="str">
        <f>IF(O466&lt;0,"Below",IF(O466&gt;0,"Above","Equals"))</f>
        <v>Below</v>
      </c>
      <c r="Q466" s="4" t="s">
        <v>1142</v>
      </c>
      <c r="R466" s="5"/>
      <c r="S466" s="15"/>
      <c r="U466" s="12"/>
      <c r="V466" s="4"/>
      <c r="X466" s="4"/>
      <c r="Y466" s="13"/>
      <c r="Z466" s="13"/>
      <c r="AA466" s="4"/>
      <c r="AB466" s="4"/>
      <c r="AD466" s="9"/>
      <c r="AE466" s="5"/>
      <c r="AF466" s="11"/>
      <c r="AG466" s="11"/>
      <c r="AI466" s="9"/>
      <c r="AJ466" s="11"/>
      <c r="AK466" s="4"/>
    </row>
    <row r="467" spans="1:38" ht="43.5">
      <c r="A467" s="4" t="s">
        <v>50</v>
      </c>
      <c r="B467" s="4">
        <v>29</v>
      </c>
      <c r="C467" s="4">
        <v>3</v>
      </c>
      <c r="D467" s="6" t="s">
        <v>1040</v>
      </c>
      <c r="E467" s="4" t="s">
        <v>207</v>
      </c>
      <c r="F467" s="4" t="str" cm="1">
        <f t="array" ref="F467">_xlfn.IFS(
  E467="Mahuva", "Mahuva",
  E467="Jesar", "Mahuva",
  E467="Palitana", "Palitana",
  E467="Gariyadhar", "Palitana",
  E467="Talaja", "Talaja",
  E467="Vallabhipur", "Vallabhipur",
  E467="Umrala", "Vallabhipur",
  E467="Shihor", "Shihor",
  E467="Ghogha", "Bhavnagar",
  E467="Bhavnagar", "Bhavnagar"
)</f>
        <v>Palitana</v>
      </c>
      <c r="G467" s="4" t="s">
        <v>206</v>
      </c>
      <c r="H467" s="4">
        <v>273751</v>
      </c>
      <c r="I467" s="4">
        <v>1</v>
      </c>
      <c r="J467" s="5">
        <v>46059</v>
      </c>
      <c r="K467" s="5">
        <v>46069</v>
      </c>
      <c r="L467" s="5">
        <f>K467+1</f>
        <v>46070</v>
      </c>
      <c r="M467" s="7">
        <v>1251587.29</v>
      </c>
      <c r="N467" s="7">
        <v>1048830.1499999999</v>
      </c>
      <c r="O467" s="8">
        <v>-16.2</v>
      </c>
      <c r="P467" s="8" t="str">
        <f>IF(O467&lt;0,"Below",IF(O467&gt;0,"Above","Equals"))</f>
        <v>Below</v>
      </c>
      <c r="Q467" s="4" t="s">
        <v>1078</v>
      </c>
      <c r="R467" s="5"/>
      <c r="S467" s="15"/>
      <c r="U467" s="12">
        <v>3</v>
      </c>
      <c r="V467" s="4">
        <v>396</v>
      </c>
      <c r="W467" s="14">
        <v>46101</v>
      </c>
      <c r="X467" s="4" t="s">
        <v>1126</v>
      </c>
      <c r="Y467" s="13">
        <v>19</v>
      </c>
      <c r="Z467" s="26">
        <v>46161</v>
      </c>
      <c r="AA467" s="4" t="s">
        <v>299</v>
      </c>
      <c r="AB467" s="4" t="s">
        <v>312</v>
      </c>
      <c r="AC467" s="33" t="s">
        <v>1169</v>
      </c>
      <c r="AD467" s="9">
        <v>69000</v>
      </c>
      <c r="AE467" s="5">
        <v>46114</v>
      </c>
      <c r="AF467" s="11"/>
      <c r="AG467" s="11"/>
      <c r="AI467" s="9"/>
      <c r="AJ467" s="11"/>
      <c r="AK467" s="4">
        <v>575</v>
      </c>
      <c r="AL467" s="26">
        <v>46161</v>
      </c>
    </row>
    <row r="468" spans="1:38" ht="43.5">
      <c r="A468" s="4" t="str">
        <f>A467</f>
        <v>2025-26</v>
      </c>
      <c r="B468" s="4">
        <f>B467</f>
        <v>29</v>
      </c>
      <c r="C468" s="4">
        <f>C467+1</f>
        <v>4</v>
      </c>
      <c r="D468" s="6" t="s">
        <v>1199</v>
      </c>
      <c r="E468" s="4" t="s">
        <v>2</v>
      </c>
      <c r="F468" s="4" t="str" cm="1">
        <f t="array" ref="F468">_xlfn.IFS(
  E468="Mahuva", "Mahuva",
  E468="Jesar", "Mahuva",
  E468="Palitana", "Palitana",
  E468="Gariyadhar", "Palitana",
  E468="Talaja", "Talaja",
  E468="Vallabhipur", "Vallabhipur",
  E468="Umrala", "Vallabhipur",
  E468="Shihor", "Shihor",
  E468="Ghogha", "Bhavnagar",
  E468="Bhavnagar", "Bhavnagar"
)</f>
        <v>Palitana</v>
      </c>
      <c r="G468" s="4" t="s">
        <v>206</v>
      </c>
      <c r="H468" s="4">
        <v>305437</v>
      </c>
      <c r="I468" s="4">
        <v>1</v>
      </c>
      <c r="M468" s="7">
        <v>1312123.25</v>
      </c>
      <c r="N468" s="7">
        <v>1212926.73</v>
      </c>
      <c r="O468" s="8">
        <v>-7.56</v>
      </c>
      <c r="P468" s="8" t="str">
        <f>IF(O468&lt;0,"Below",IF(O468&gt;0,"Above","Equals"))</f>
        <v>Below</v>
      </c>
      <c r="Q468" s="4" t="s">
        <v>849</v>
      </c>
      <c r="R468" s="5"/>
      <c r="S468" s="15"/>
      <c r="U468" s="12"/>
      <c r="V468" s="4"/>
      <c r="X468" s="4"/>
      <c r="Y468" s="13"/>
      <c r="Z468" s="13"/>
      <c r="AA468" s="4"/>
      <c r="AB468" s="4"/>
      <c r="AD468" s="9"/>
      <c r="AE468" s="5"/>
      <c r="AF468" s="11"/>
      <c r="AG468" s="11"/>
      <c r="AI468" s="9"/>
      <c r="AJ468" s="11"/>
      <c r="AK468" s="4"/>
    </row>
    <row r="469" spans="1:38" ht="29">
      <c r="A469" s="4" t="s">
        <v>50</v>
      </c>
      <c r="B469" s="4">
        <v>29</v>
      </c>
      <c r="C469" s="4">
        <v>4</v>
      </c>
      <c r="D469" s="6" t="s">
        <v>1041</v>
      </c>
      <c r="E469" s="4" t="s">
        <v>11</v>
      </c>
      <c r="F469" s="4" t="str" cm="1">
        <f t="array" ref="F469">_xlfn.IFS(
  E469="Mahuva", "Mahuva",
  E469="Jesar", "Mahuva",
  E469="Palitana", "Palitana",
  E469="Gariyadhar", "Palitana",
  E469="Talaja", "Talaja",
  E469="Vallabhipur", "Vallabhipur",
  E469="Umrala", "Vallabhipur",
  E469="Shihor", "Shihor",
  E469="Ghogha", "Bhavnagar",
  E469="Bhavnagar", "Bhavnagar"
)</f>
        <v>Shihor</v>
      </c>
      <c r="G469" s="4" t="s">
        <v>206</v>
      </c>
      <c r="H469" s="4">
        <v>273726</v>
      </c>
      <c r="I469" s="4">
        <v>1</v>
      </c>
      <c r="J469" s="5">
        <v>46059</v>
      </c>
      <c r="K469" s="5">
        <v>46069</v>
      </c>
      <c r="L469" s="5">
        <f>K469+1</f>
        <v>46070</v>
      </c>
      <c r="M469" s="7">
        <v>663452.18000000005</v>
      </c>
      <c r="N469" s="7">
        <v>600158.84</v>
      </c>
      <c r="O469" s="8">
        <v>-9.5399999999999991</v>
      </c>
      <c r="P469" s="8" t="str">
        <f>IF(O469&lt;0,"Below",IF(O469&gt;0,"Above","Equals"))</f>
        <v>Below</v>
      </c>
      <c r="Q469" s="4" t="s">
        <v>1079</v>
      </c>
      <c r="R469" s="5"/>
      <c r="S469" s="15"/>
      <c r="U469" s="12">
        <v>3</v>
      </c>
      <c r="V469" s="4">
        <v>397</v>
      </c>
      <c r="W469" s="14">
        <v>46101</v>
      </c>
      <c r="X469" s="4" t="s">
        <v>1126</v>
      </c>
      <c r="Y469" s="13">
        <v>17</v>
      </c>
      <c r="Z469" s="26">
        <v>46160</v>
      </c>
      <c r="AA469" s="4" t="s">
        <v>299</v>
      </c>
      <c r="AB469" s="4" t="s">
        <v>312</v>
      </c>
      <c r="AC469" s="33" t="s">
        <v>1166</v>
      </c>
      <c r="AD469" s="9">
        <v>31000</v>
      </c>
      <c r="AE469" s="5">
        <v>46114</v>
      </c>
      <c r="AF469" s="11"/>
      <c r="AG469" s="11"/>
      <c r="AI469" s="9"/>
      <c r="AJ469" s="11"/>
      <c r="AK469" s="4">
        <v>573</v>
      </c>
      <c r="AL469" s="14">
        <v>46160</v>
      </c>
    </row>
    <row r="470" spans="1:38" ht="43.5">
      <c r="A470" s="4" t="s">
        <v>50</v>
      </c>
      <c r="B470" s="4">
        <v>29</v>
      </c>
      <c r="C470" s="4">
        <v>5</v>
      </c>
      <c r="D470" s="6" t="s">
        <v>1042</v>
      </c>
      <c r="E470" s="4" t="s">
        <v>11</v>
      </c>
      <c r="F470" s="4" t="str" cm="1">
        <f t="array" ref="F470">_xlfn.IFS(
  E470="Mahuva", "Mahuva",
  E470="Jesar", "Mahuva",
  E470="Palitana", "Palitana",
  E470="Gariyadhar", "Palitana",
  E470="Talaja", "Talaja",
  E470="Vallabhipur", "Vallabhipur",
  E470="Umrala", "Vallabhipur",
  E470="Shihor", "Shihor",
  E470="Ghogha", "Bhavnagar",
  E470="Bhavnagar", "Bhavnagar"
)</f>
        <v>Shihor</v>
      </c>
      <c r="G470" s="4" t="s">
        <v>206</v>
      </c>
      <c r="H470" s="4">
        <v>273763</v>
      </c>
      <c r="I470" s="4">
        <v>1</v>
      </c>
      <c r="J470" s="5">
        <v>46059</v>
      </c>
      <c r="K470" s="5">
        <v>46069</v>
      </c>
      <c r="L470" s="5">
        <f>K470+1</f>
        <v>46070</v>
      </c>
      <c r="M470" s="7">
        <v>2488223.75</v>
      </c>
      <c r="N470" s="7">
        <v>2176946.96</v>
      </c>
      <c r="O470" s="8">
        <v>-12.51</v>
      </c>
      <c r="P470" s="8" t="str">
        <f>IF(O470&lt;0,"Below",IF(O470&gt;0,"Above","Equals"))</f>
        <v>Below</v>
      </c>
      <c r="Q470" s="4" t="s">
        <v>1079</v>
      </c>
      <c r="R470" s="5"/>
      <c r="S470" s="15"/>
      <c r="U470" s="12">
        <v>4</v>
      </c>
      <c r="V470" s="4">
        <v>398</v>
      </c>
      <c r="W470" s="14">
        <v>46101</v>
      </c>
      <c r="X470" s="4" t="s">
        <v>1126</v>
      </c>
      <c r="Y470" s="13">
        <v>18</v>
      </c>
      <c r="Z470" s="26">
        <v>46160</v>
      </c>
      <c r="AA470" s="4" t="s">
        <v>299</v>
      </c>
      <c r="AB470" s="4" t="s">
        <v>312</v>
      </c>
      <c r="AC470" s="33" t="s">
        <v>1167</v>
      </c>
      <c r="AD470" s="9">
        <v>109000</v>
      </c>
      <c r="AE470" s="5">
        <v>46114</v>
      </c>
      <c r="AF470" s="4" t="s">
        <v>299</v>
      </c>
      <c r="AG470" s="4" t="s">
        <v>312</v>
      </c>
      <c r="AH470" s="33" t="s">
        <v>1168</v>
      </c>
      <c r="AI470" s="9">
        <v>13000</v>
      </c>
      <c r="AJ470" s="5">
        <v>46114</v>
      </c>
      <c r="AK470" s="4">
        <v>574</v>
      </c>
      <c r="AL470" s="14">
        <v>46160</v>
      </c>
    </row>
    <row r="471" spans="1:38" ht="43.5">
      <c r="A471" s="4" t="s">
        <v>50</v>
      </c>
      <c r="B471" s="4">
        <v>29</v>
      </c>
      <c r="C471" s="4">
        <v>6</v>
      </c>
      <c r="D471" s="6" t="s">
        <v>1043</v>
      </c>
      <c r="E471" s="4" t="s">
        <v>3</v>
      </c>
      <c r="F471" s="4" t="str" cm="1">
        <f t="array" ref="F471">_xlfn.IFS(
  E471="Mahuva", "Mahuva",
  E471="Jesar", "Mahuva",
  E471="Palitana", "Palitana",
  E471="Gariyadhar", "Palitana",
  E471="Talaja", "Talaja",
  E471="Vallabhipur", "Vallabhipur",
  E471="Umrala", "Vallabhipur",
  E471="Shihor", "Shihor",
  E471="Ghogha", "Bhavnagar",
  E471="Bhavnagar", "Bhavnagar"
)</f>
        <v>Talaja</v>
      </c>
      <c r="G471" s="4" t="s">
        <v>206</v>
      </c>
      <c r="H471" s="4">
        <v>273770</v>
      </c>
      <c r="I471" s="4">
        <v>1</v>
      </c>
      <c r="J471" s="5">
        <v>46059</v>
      </c>
      <c r="K471" s="5">
        <v>46069</v>
      </c>
      <c r="L471" s="5">
        <f>K471+1</f>
        <v>46070</v>
      </c>
      <c r="M471" s="7">
        <v>2485401.77</v>
      </c>
      <c r="N471" s="7">
        <v>2198337.87</v>
      </c>
      <c r="O471" s="8">
        <v>-11.55</v>
      </c>
      <c r="P471" s="8" t="str">
        <f>IF(O471&lt;0,"Below",IF(O471&gt;0,"Above","Equals"))</f>
        <v>Below</v>
      </c>
      <c r="Q471" s="4" t="s">
        <v>352</v>
      </c>
      <c r="R471" s="5"/>
      <c r="S471" s="15"/>
      <c r="U471" s="12">
        <v>4</v>
      </c>
      <c r="V471" s="4">
        <v>399</v>
      </c>
      <c r="W471" s="14">
        <v>46101</v>
      </c>
      <c r="X471" s="4"/>
      <c r="Y471" s="13"/>
      <c r="Z471" s="13"/>
      <c r="AA471" s="4"/>
      <c r="AB471" s="4"/>
      <c r="AD471" s="9"/>
      <c r="AE471" s="5"/>
      <c r="AF471" s="11"/>
      <c r="AG471" s="11"/>
      <c r="AI471" s="9"/>
      <c r="AJ471" s="11"/>
      <c r="AK471" s="4"/>
    </row>
    <row r="472" spans="1:38" ht="29">
      <c r="A472" s="4" t="s">
        <v>50</v>
      </c>
      <c r="B472" s="4">
        <v>29</v>
      </c>
      <c r="C472" s="4">
        <v>7</v>
      </c>
      <c r="D472" s="6" t="s">
        <v>1076</v>
      </c>
      <c r="E472" s="4" t="s">
        <v>11</v>
      </c>
      <c r="F472" s="4" t="str" cm="1">
        <f t="array" ref="F472">_xlfn.IFS(
  E472="Mahuva", "Mahuva",
  E472="Jesar", "Mahuva",
  E472="Palitana", "Palitana",
  E472="Gariyadhar", "Palitana",
  E472="Talaja", "Talaja",
  E472="Vallabhipur", "Vallabhipur",
  E472="Umrala", "Vallabhipur",
  E472="Shihor", "Shihor",
  E472="Ghogha", "Bhavnagar",
  E472="Bhavnagar", "Bhavnagar"
)</f>
        <v>Shihor</v>
      </c>
      <c r="G472" s="4" t="s">
        <v>206</v>
      </c>
      <c r="H472" s="4">
        <v>273775</v>
      </c>
      <c r="I472" s="4">
        <v>1</v>
      </c>
      <c r="J472" s="5">
        <v>46059</v>
      </c>
      <c r="K472" s="5">
        <v>46069</v>
      </c>
      <c r="L472" s="5">
        <f>K472+1</f>
        <v>46070</v>
      </c>
      <c r="M472" s="7">
        <v>2160742.75</v>
      </c>
      <c r="N472" s="7">
        <v>1833390.22</v>
      </c>
      <c r="O472" s="8">
        <v>-15.15</v>
      </c>
      <c r="P472" s="8" t="str">
        <f>IF(O472&lt;0,"Below",IF(O472&gt;0,"Above","Equals"))</f>
        <v>Below</v>
      </c>
      <c r="Q472" s="4" t="s">
        <v>1080</v>
      </c>
      <c r="R472" s="5"/>
      <c r="S472" s="15"/>
      <c r="U472" s="12">
        <v>4</v>
      </c>
      <c r="V472" s="4">
        <v>400</v>
      </c>
      <c r="W472" s="14">
        <v>46101</v>
      </c>
      <c r="X472" s="4" t="s">
        <v>1126</v>
      </c>
      <c r="Y472" s="13">
        <v>20</v>
      </c>
      <c r="Z472" s="26">
        <v>46161</v>
      </c>
      <c r="AA472" s="4" t="s">
        <v>299</v>
      </c>
      <c r="AB472" s="4" t="s">
        <v>312</v>
      </c>
      <c r="AC472" s="33" t="s">
        <v>1171</v>
      </c>
      <c r="AD472" s="9">
        <v>92000</v>
      </c>
      <c r="AE472" s="5">
        <v>46114</v>
      </c>
      <c r="AF472" s="4" t="s">
        <v>299</v>
      </c>
      <c r="AG472" s="4" t="s">
        <v>312</v>
      </c>
      <c r="AH472" s="33" t="s">
        <v>1172</v>
      </c>
      <c r="AI472" s="9">
        <v>23000</v>
      </c>
      <c r="AJ472" s="5">
        <v>46114</v>
      </c>
      <c r="AK472" s="4">
        <v>576</v>
      </c>
      <c r="AL472" s="14">
        <v>46161</v>
      </c>
    </row>
    <row r="473" spans="1:38">
      <c r="H473" s="39"/>
      <c r="J473" s="40"/>
      <c r="K473" s="40"/>
      <c r="L473" s="40"/>
      <c r="M473" s="41"/>
      <c r="N473" s="41"/>
      <c r="Q473" s="39"/>
      <c r="AL473" s="42"/>
    </row>
  </sheetData>
  <autoFilter ref="A1:AL472" xr:uid="{DE7627A7-C3E0-4ABD-8411-C9A63B3AA281}">
    <sortState xmlns:xlrd2="http://schemas.microsoft.com/office/spreadsheetml/2017/richdata2" ref="A2:AL472">
      <sortCondition ref="A2:A472"/>
      <sortCondition ref="B2:B472"/>
      <sortCondition ref="C2:C472"/>
    </sortState>
  </autoFilter>
  <sortState xmlns:xlrd2="http://schemas.microsoft.com/office/spreadsheetml/2017/richdata2" ref="A2:AL472">
    <sortCondition ref="A2:A472"/>
    <sortCondition ref="B2:B472"/>
    <sortCondition ref="C2:C472"/>
  </sortState>
  <dataConsolidate/>
  <pageMargins left="0.70866141732283472" right="0.70866141732283472" top="0.74803149606299213" bottom="0.74803149606299213" header="0.31496062992125984" footer="0.31496062992125984"/>
  <pageSetup paperSize="9" scale="1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EE2B5-5857-4D1C-8EDA-4C825F81BE2A}">
  <dimension ref="A1:F25"/>
  <sheetViews>
    <sheetView view="pageBreakPreview" zoomScale="60" zoomScaleNormal="100" workbookViewId="0">
      <selection activeCell="A14" sqref="A14"/>
    </sheetView>
  </sheetViews>
  <sheetFormatPr defaultRowHeight="14.5"/>
  <cols>
    <col min="1" max="1" width="46.81640625" customWidth="1"/>
    <col min="2" max="2" width="13.453125" bestFit="1" customWidth="1"/>
    <col min="3" max="3" width="11.26953125" hidden="1" customWidth="1"/>
    <col min="4" max="4" width="7.36328125" hidden="1" customWidth="1"/>
    <col min="5" max="5" width="18.453125" bestFit="1" customWidth="1"/>
    <col min="6" max="6" width="10.7265625" bestFit="1" customWidth="1"/>
  </cols>
  <sheetData>
    <row r="1" spans="1:6" ht="43.5">
      <c r="A1" s="14" t="s">
        <v>45</v>
      </c>
      <c r="B1" s="14" t="s">
        <v>7</v>
      </c>
      <c r="C1" s="14" t="s">
        <v>7</v>
      </c>
      <c r="D1" s="14" t="s">
        <v>73</v>
      </c>
      <c r="E1" s="14" t="s">
        <v>26</v>
      </c>
      <c r="F1" s="14" t="s">
        <v>29</v>
      </c>
    </row>
    <row r="2" spans="1:6" ht="43.5">
      <c r="A2" s="6" t="s">
        <v>1185</v>
      </c>
      <c r="B2" s="7">
        <v>5437617.4095749995</v>
      </c>
      <c r="C2" s="7"/>
      <c r="D2" s="8"/>
      <c r="E2" s="4" t="s">
        <v>172</v>
      </c>
      <c r="F2" s="5">
        <v>46141</v>
      </c>
    </row>
    <row r="3" spans="1:6" ht="43.5">
      <c r="A3" s="6" t="s">
        <v>1186</v>
      </c>
      <c r="B3" s="7">
        <v>9226226.2922549993</v>
      </c>
      <c r="C3" s="7"/>
      <c r="D3" s="8"/>
      <c r="E3" s="4" t="s">
        <v>172</v>
      </c>
      <c r="F3" s="5">
        <v>46141</v>
      </c>
    </row>
    <row r="4" spans="1:6" ht="43.5">
      <c r="A4" s="6" t="s">
        <v>1187</v>
      </c>
      <c r="B4" s="7">
        <v>4759053.3630900001</v>
      </c>
      <c r="C4" s="7"/>
      <c r="D4" s="8"/>
      <c r="E4" s="4" t="s">
        <v>172</v>
      </c>
      <c r="F4" s="5">
        <v>46141</v>
      </c>
    </row>
    <row r="5" spans="1:6" ht="43.5">
      <c r="A5" s="6" t="s">
        <v>1188</v>
      </c>
      <c r="B5" s="7">
        <v>8765888.1025499981</v>
      </c>
      <c r="C5" s="7"/>
      <c r="D5" s="8"/>
      <c r="E5" s="4" t="s">
        <v>172</v>
      </c>
      <c r="F5" s="5">
        <v>46141</v>
      </c>
    </row>
    <row r="6" spans="1:6" ht="43.5">
      <c r="A6" s="6" t="s">
        <v>317</v>
      </c>
      <c r="B6" s="7">
        <v>12560705.949999999</v>
      </c>
      <c r="C6" s="7"/>
      <c r="D6" s="8"/>
      <c r="E6" s="4" t="s">
        <v>53</v>
      </c>
      <c r="F6" s="14">
        <v>46163</v>
      </c>
    </row>
    <row r="7" spans="1:6">
      <c r="A7" s="6"/>
      <c r="B7" s="4"/>
      <c r="C7" s="7"/>
      <c r="D7" s="8"/>
      <c r="E7" s="4"/>
      <c r="F7" s="14"/>
    </row>
    <row r="8" spans="1:6">
      <c r="A8" s="6"/>
      <c r="B8" s="4"/>
      <c r="C8" s="7"/>
      <c r="D8" s="8"/>
      <c r="E8" s="4"/>
      <c r="F8" s="14"/>
    </row>
    <row r="9" spans="1:6">
      <c r="A9" s="6"/>
      <c r="B9" s="4"/>
      <c r="C9" s="7"/>
      <c r="D9" s="8"/>
      <c r="E9" s="4"/>
      <c r="F9" s="14"/>
    </row>
    <row r="10" spans="1:6">
      <c r="A10" s="6"/>
      <c r="B10" s="4"/>
      <c r="C10" s="7"/>
      <c r="D10" s="8"/>
      <c r="E10" s="4"/>
      <c r="F10" s="14"/>
    </row>
    <row r="11" spans="1:6">
      <c r="A11" s="6"/>
      <c r="B11" s="4"/>
      <c r="C11" s="7"/>
      <c r="D11" s="8"/>
      <c r="E11" s="4"/>
      <c r="F11" s="14"/>
    </row>
    <row r="12" spans="1:6">
      <c r="A12" s="6"/>
      <c r="B12" s="4"/>
      <c r="C12" s="7"/>
      <c r="D12" s="8"/>
      <c r="E12" s="4"/>
      <c r="F12" s="14"/>
    </row>
    <row r="13" spans="1:6">
      <c r="A13" s="6"/>
      <c r="B13" s="4"/>
      <c r="C13" s="7"/>
      <c r="D13" s="8"/>
      <c r="E13" s="4"/>
      <c r="F13" s="14"/>
    </row>
    <row r="14" spans="1:6">
      <c r="A14" s="6"/>
      <c r="B14" s="4"/>
      <c r="C14" s="7"/>
      <c r="D14" s="8"/>
      <c r="E14" s="4"/>
      <c r="F14" s="14"/>
    </row>
    <row r="15" spans="1:6">
      <c r="A15" s="6"/>
      <c r="B15" s="4"/>
      <c r="C15" s="7"/>
      <c r="D15" s="8"/>
      <c r="E15" s="4"/>
      <c r="F15" s="14"/>
    </row>
    <row r="16" spans="1:6">
      <c r="A16" s="6"/>
      <c r="B16" s="4"/>
      <c r="C16" s="7"/>
      <c r="D16" s="8"/>
      <c r="E16" s="4"/>
      <c r="F16" s="14"/>
    </row>
    <row r="17" spans="1:6">
      <c r="A17" s="6"/>
      <c r="B17" s="4"/>
      <c r="C17" s="7"/>
      <c r="D17" s="8"/>
      <c r="E17" s="4"/>
      <c r="F17" s="14"/>
    </row>
    <row r="18" spans="1:6">
      <c r="A18" s="6"/>
      <c r="B18" s="4"/>
      <c r="C18" s="7"/>
      <c r="D18" s="8"/>
      <c r="E18" s="4"/>
      <c r="F18" s="14"/>
    </row>
    <row r="19" spans="1:6">
      <c r="A19" s="6"/>
      <c r="B19" s="4"/>
      <c r="C19" s="7"/>
      <c r="D19" s="8"/>
      <c r="E19" s="4"/>
      <c r="F19" s="14"/>
    </row>
    <row r="20" spans="1:6">
      <c r="A20" s="6"/>
      <c r="B20" s="4"/>
      <c r="C20" s="7"/>
      <c r="D20" s="8"/>
      <c r="E20" s="4"/>
      <c r="F20" s="14"/>
    </row>
    <row r="21" spans="1:6">
      <c r="A21" s="6"/>
      <c r="B21" s="4"/>
      <c r="C21" s="7"/>
      <c r="D21" s="8"/>
      <c r="E21" s="4"/>
      <c r="F21" s="14"/>
    </row>
    <row r="22" spans="1:6">
      <c r="A22" s="6"/>
      <c r="B22" s="4"/>
      <c r="C22" s="7"/>
      <c r="D22" s="8"/>
      <c r="E22" s="4"/>
      <c r="F22" s="14"/>
    </row>
    <row r="23" spans="1:6">
      <c r="A23" s="6"/>
      <c r="B23" s="4"/>
      <c r="C23" s="7"/>
      <c r="D23" s="8"/>
      <c r="E23" s="4"/>
      <c r="F23" s="14"/>
    </row>
    <row r="24" spans="1:6">
      <c r="A24" s="6"/>
      <c r="B24" s="4"/>
      <c r="C24" s="7"/>
      <c r="D24" s="8"/>
      <c r="E24" s="4"/>
      <c r="F24" s="14"/>
    </row>
    <row r="25" spans="1:6">
      <c r="A25" s="6"/>
      <c r="B25" s="4"/>
      <c r="C25" s="7"/>
      <c r="D25" s="8"/>
      <c r="E25" s="4"/>
      <c r="F25" s="14"/>
    </row>
  </sheetData>
  <pageMargins left="0.7" right="0.7" top="0.75" bottom="0.75" header="0.3" footer="0.3"/>
  <pageSetup paperSize="9" scale="93"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0B9D3-838F-47CA-991A-B38EADBFAF83}">
  <dimension ref="A1:K20"/>
  <sheetViews>
    <sheetView zoomScale="85" zoomScaleNormal="85" workbookViewId="0">
      <pane ySplit="1" topLeftCell="A8" activePane="bottomLeft" state="frozen"/>
      <selection pane="bottomLeft"/>
    </sheetView>
  </sheetViews>
  <sheetFormatPr defaultRowHeight="14.5"/>
  <cols>
    <col min="1" max="1" width="24.81640625" bestFit="1" customWidth="1"/>
    <col min="2" max="2" width="8.90625" bestFit="1" customWidth="1"/>
    <col min="3" max="3" width="7" bestFit="1" customWidth="1"/>
    <col min="4" max="4" width="10.6328125" bestFit="1" customWidth="1"/>
    <col min="5" max="5" width="10.26953125" bestFit="1" customWidth="1"/>
    <col min="6" max="6" width="19.54296875" bestFit="1" customWidth="1"/>
    <col min="7" max="7" width="10.26953125" bestFit="1" customWidth="1"/>
    <col min="8" max="8" width="20.26953125" bestFit="1" customWidth="1"/>
    <col min="9" max="10" width="20.26953125" customWidth="1"/>
    <col min="11" max="11" width="9.90625" customWidth="1"/>
  </cols>
  <sheetData>
    <row r="1" spans="1:11" s="21" customFormat="1" ht="37">
      <c r="A1" s="19" t="s">
        <v>23</v>
      </c>
      <c r="B1" s="20" t="s">
        <v>68</v>
      </c>
      <c r="C1" s="20" t="s">
        <v>75</v>
      </c>
      <c r="D1" s="20" t="s">
        <v>63</v>
      </c>
      <c r="E1" s="20" t="s">
        <v>64</v>
      </c>
      <c r="F1" s="20" t="s">
        <v>65</v>
      </c>
      <c r="G1" s="20" t="s">
        <v>66</v>
      </c>
      <c r="H1" s="20" t="s">
        <v>67</v>
      </c>
      <c r="I1" s="35" t="s">
        <v>751</v>
      </c>
      <c r="J1" s="35" t="s">
        <v>750</v>
      </c>
      <c r="K1" s="35" t="s">
        <v>635</v>
      </c>
    </row>
    <row r="2" spans="1:11" s="18" customFormat="1" ht="15.5">
      <c r="A2" s="25">
        <v>1</v>
      </c>
      <c r="B2" s="17">
        <v>22</v>
      </c>
      <c r="C2" s="17">
        <v>3</v>
      </c>
      <c r="D2" s="17">
        <v>20</v>
      </c>
      <c r="E2" s="17">
        <v>20</v>
      </c>
      <c r="F2" s="17">
        <v>20</v>
      </c>
      <c r="G2" s="17">
        <v>19</v>
      </c>
      <c r="H2" s="17">
        <v>11</v>
      </c>
      <c r="I2" s="17">
        <f>GETPIVOTDATA("Proposal Sent",$A$1,"Tender Notice No.",1)-GETPIVOTDATA("Tender Approved",$A$1,"Tender Notice No.",1)</f>
        <v>0</v>
      </c>
      <c r="J2" s="17"/>
      <c r="K2" s="17">
        <f>GETPIVOTDATA("LoA Sent",$A$1,"Tender Notice No.",1)-GETPIVOTDATA("Work Order Given",$A$1,"Tender Notice No.",1)</f>
        <v>8</v>
      </c>
    </row>
    <row r="3" spans="1:11" s="18" customFormat="1" ht="15.5">
      <c r="A3" s="25">
        <v>2</v>
      </c>
      <c r="B3" s="17">
        <v>20</v>
      </c>
      <c r="C3" s="17">
        <v>2</v>
      </c>
      <c r="D3" s="17">
        <v>18</v>
      </c>
      <c r="E3" s="17">
        <v>18</v>
      </c>
      <c r="F3" s="17">
        <v>18</v>
      </c>
      <c r="G3" s="17">
        <v>18</v>
      </c>
      <c r="H3" s="17">
        <v>8</v>
      </c>
      <c r="I3" s="17">
        <f>GETPIVOTDATA("Proposal Sent",$A$1,"Tender Notice No.",2)-GETPIVOTDATA("Tender Approved",$A$1,"Tender Notice No.",2)</f>
        <v>0</v>
      </c>
      <c r="J3" s="17"/>
      <c r="K3" s="17">
        <f>GETPIVOTDATA("LoA Sent",$A$1,"Tender Notice No.",2)-GETPIVOTDATA("Work Order Given",$A$1,"Tender Notice No.",2)</f>
        <v>10</v>
      </c>
    </row>
    <row r="4" spans="1:11" s="18" customFormat="1" ht="15.5">
      <c r="A4" s="25">
        <v>3</v>
      </c>
      <c r="B4" s="17">
        <v>19</v>
      </c>
      <c r="C4" s="17">
        <v>14</v>
      </c>
      <c r="D4" s="17">
        <v>5</v>
      </c>
      <c r="E4" s="17"/>
      <c r="F4" s="17"/>
      <c r="G4" s="17">
        <v>5</v>
      </c>
      <c r="H4" s="17">
        <v>5</v>
      </c>
      <c r="I4" s="17">
        <f>GETPIVOTDATA("Proposal Sent",$A$1,"Tender Notice No.",3)-GETPIVOTDATA("Tender Approved",$A$1,"Tender Notice No.",3)</f>
        <v>0</v>
      </c>
      <c r="J4" s="17"/>
      <c r="K4" s="17">
        <f>GETPIVOTDATA("LoA Sent",$A$1,"Tender Notice No.",3)-GETPIVOTDATA("Work Order Given",$A$1,"Tender Notice No.",3)</f>
        <v>0</v>
      </c>
    </row>
    <row r="5" spans="1:11" s="18" customFormat="1" ht="15.5">
      <c r="A5" s="25">
        <v>4</v>
      </c>
      <c r="B5" s="17">
        <v>42</v>
      </c>
      <c r="C5" s="17">
        <v>24</v>
      </c>
      <c r="D5" s="17">
        <v>18</v>
      </c>
      <c r="E5" s="17"/>
      <c r="F5" s="17"/>
      <c r="G5" s="17">
        <v>18</v>
      </c>
      <c r="H5" s="17">
        <v>12</v>
      </c>
      <c r="I5" s="17">
        <f>GETPIVOTDATA("Proposal Sent",$A$1,"Tender Notice No.",4)-GETPIVOTDATA("Tender Approved",$A$1,"Tender Notice No.",4)</f>
        <v>0</v>
      </c>
      <c r="J5" s="17"/>
      <c r="K5" s="17">
        <f>GETPIVOTDATA("LoA Sent",$A$1,"Tender Notice No.",4)-GETPIVOTDATA("Work Order Given",$A$1,"Tender Notice No.",4)</f>
        <v>6</v>
      </c>
    </row>
    <row r="6" spans="1:11" ht="15.5">
      <c r="A6" s="25">
        <v>5</v>
      </c>
      <c r="B6" s="17">
        <v>1</v>
      </c>
      <c r="C6" s="17">
        <v>1</v>
      </c>
      <c r="D6" s="17"/>
      <c r="E6" s="17"/>
      <c r="F6" s="17"/>
      <c r="G6" s="17"/>
      <c r="H6" s="17"/>
      <c r="I6" s="17">
        <f t="shared" ref="I6:I20" si="0">GETPIVOTDATA("Proposal Sent",$A$1,"Tender Notice No.",3)-GETPIVOTDATA("Tender Approved",$A$1,"Tender Notice No.",3)</f>
        <v>0</v>
      </c>
      <c r="J6" s="17"/>
      <c r="K6" s="17"/>
    </row>
    <row r="7" spans="1:11" ht="15.5">
      <c r="A7" s="25">
        <v>6</v>
      </c>
      <c r="B7" s="17">
        <v>1</v>
      </c>
      <c r="C7" s="17"/>
      <c r="D7" s="17"/>
      <c r="E7" s="17"/>
      <c r="F7" s="17"/>
      <c r="G7" s="17"/>
      <c r="H7" s="17">
        <v>1</v>
      </c>
      <c r="I7" s="17">
        <f t="shared" si="0"/>
        <v>0</v>
      </c>
      <c r="J7" s="17"/>
      <c r="K7" s="17"/>
    </row>
    <row r="8" spans="1:11" ht="15.5">
      <c r="A8" s="25">
        <v>7</v>
      </c>
      <c r="B8" s="17">
        <v>1</v>
      </c>
      <c r="C8" s="17"/>
      <c r="D8" s="17"/>
      <c r="E8" s="17">
        <v>1</v>
      </c>
      <c r="F8" s="17"/>
      <c r="G8" s="17"/>
      <c r="H8" s="17"/>
      <c r="I8" s="17">
        <f t="shared" si="0"/>
        <v>0</v>
      </c>
      <c r="J8" s="17"/>
      <c r="K8" s="17"/>
    </row>
    <row r="9" spans="1:11" ht="15.5">
      <c r="A9" s="25">
        <v>8</v>
      </c>
      <c r="B9" s="17">
        <v>141</v>
      </c>
      <c r="C9" s="17">
        <v>43</v>
      </c>
      <c r="D9" s="17">
        <v>98</v>
      </c>
      <c r="E9" s="17"/>
      <c r="F9" s="17"/>
      <c r="G9" s="17">
        <v>98</v>
      </c>
      <c r="H9" s="17">
        <v>76</v>
      </c>
      <c r="I9" s="17">
        <f t="shared" si="0"/>
        <v>0</v>
      </c>
      <c r="J9" s="17"/>
      <c r="K9" s="17">
        <f>GETPIVOTDATA("LoA Sent",$A$1,"Tender Notice No.",8)-GETPIVOTDATA("Work Order Given",$A$1,"Tender Notice No.",8)</f>
        <v>22</v>
      </c>
    </row>
    <row r="10" spans="1:11" ht="15.5">
      <c r="A10" s="25">
        <v>9</v>
      </c>
      <c r="B10" s="17">
        <v>15</v>
      </c>
      <c r="C10" s="17">
        <v>3</v>
      </c>
      <c r="D10" s="17">
        <v>12</v>
      </c>
      <c r="E10" s="17">
        <v>12</v>
      </c>
      <c r="F10" s="17">
        <v>12</v>
      </c>
      <c r="G10" s="17">
        <v>12</v>
      </c>
      <c r="H10" s="17">
        <v>2</v>
      </c>
      <c r="I10" s="17">
        <f t="shared" si="0"/>
        <v>0</v>
      </c>
      <c r="J10" s="17"/>
      <c r="K10" s="17">
        <f>GETPIVOTDATA("LoA Sent",$A$1,"Tender Notice No.",9)-GETPIVOTDATA("Work Order Given",$A$1,"Tender Notice No.",9)</f>
        <v>10</v>
      </c>
    </row>
    <row r="11" spans="1:11" ht="15.5">
      <c r="A11" s="25">
        <v>10</v>
      </c>
      <c r="B11" s="17">
        <v>2</v>
      </c>
      <c r="C11" s="17">
        <v>2</v>
      </c>
      <c r="D11" s="17"/>
      <c r="E11" s="17"/>
      <c r="F11" s="17"/>
      <c r="G11" s="17"/>
      <c r="H11" s="17"/>
      <c r="I11" s="17">
        <f t="shared" si="0"/>
        <v>0</v>
      </c>
      <c r="J11" s="17"/>
      <c r="K11" s="17"/>
    </row>
    <row r="12" spans="1:11" ht="15.5">
      <c r="A12" s="25">
        <v>11</v>
      </c>
      <c r="B12" s="17">
        <v>14</v>
      </c>
      <c r="C12" s="17">
        <v>12</v>
      </c>
      <c r="D12" s="17">
        <v>2</v>
      </c>
      <c r="E12" s="17"/>
      <c r="F12" s="17"/>
      <c r="G12" s="17">
        <v>2</v>
      </c>
      <c r="H12" s="17">
        <v>1</v>
      </c>
      <c r="I12" s="17">
        <f t="shared" si="0"/>
        <v>0</v>
      </c>
      <c r="J12" s="17"/>
      <c r="K12" s="17">
        <f>GETPIVOTDATA("LoA Sent",$A$1,"Tender Notice No.",11)-GETPIVOTDATA("Work Order Given",$A$1,"Tender Notice No.",11)</f>
        <v>1</v>
      </c>
    </row>
    <row r="13" spans="1:11" ht="15.5">
      <c r="A13" s="25">
        <v>12</v>
      </c>
      <c r="B13" s="17">
        <v>2</v>
      </c>
      <c r="C13" s="17"/>
      <c r="D13" s="17">
        <v>2</v>
      </c>
      <c r="E13" s="17">
        <v>2</v>
      </c>
      <c r="F13" s="17">
        <v>2</v>
      </c>
      <c r="G13" s="17">
        <v>1</v>
      </c>
      <c r="H13" s="17"/>
      <c r="I13" s="17">
        <f t="shared" si="0"/>
        <v>0</v>
      </c>
      <c r="J13" s="17"/>
      <c r="K13" s="17"/>
    </row>
    <row r="14" spans="1:11" ht="15.5">
      <c r="A14" s="25">
        <v>13</v>
      </c>
      <c r="B14" s="17">
        <v>1</v>
      </c>
      <c r="C14" s="17">
        <v>1</v>
      </c>
      <c r="D14" s="17"/>
      <c r="E14" s="17"/>
      <c r="F14" s="17"/>
      <c r="G14" s="17"/>
      <c r="H14" s="17"/>
      <c r="I14" s="17">
        <f t="shared" si="0"/>
        <v>0</v>
      </c>
      <c r="J14" s="17"/>
      <c r="K14" s="17"/>
    </row>
    <row r="15" spans="1:11" ht="15.5">
      <c r="A15" s="25">
        <v>14</v>
      </c>
      <c r="B15" s="17">
        <v>55</v>
      </c>
      <c r="C15" s="17">
        <v>8</v>
      </c>
      <c r="D15" s="17">
        <v>47</v>
      </c>
      <c r="E15" s="17"/>
      <c r="F15" s="17"/>
      <c r="G15" s="17">
        <v>47</v>
      </c>
      <c r="H15" s="17">
        <v>19</v>
      </c>
      <c r="I15" s="17">
        <f t="shared" si="0"/>
        <v>0</v>
      </c>
      <c r="J15" s="17"/>
      <c r="K15" s="17">
        <f>GETPIVOTDATA("LoA Sent",$A$1,"Tender Notice No.",14)-GETPIVOTDATA("Work Order Given",$A$1,"Tender Notice No.",14)</f>
        <v>28</v>
      </c>
    </row>
    <row r="16" spans="1:11" ht="15.5">
      <c r="A16" s="25">
        <v>15</v>
      </c>
      <c r="B16" s="17">
        <v>14</v>
      </c>
      <c r="C16" s="17">
        <v>1</v>
      </c>
      <c r="D16" s="17">
        <v>13</v>
      </c>
      <c r="E16" s="17"/>
      <c r="F16" s="17">
        <v>1</v>
      </c>
      <c r="G16" s="17">
        <v>11</v>
      </c>
      <c r="H16" s="17">
        <v>5</v>
      </c>
      <c r="I16" s="17">
        <f t="shared" si="0"/>
        <v>0</v>
      </c>
      <c r="J16" s="17"/>
      <c r="K16" s="17">
        <f>GETPIVOTDATA("LoA Sent",$A$1,"Tender Notice No.",15)-GETPIVOTDATA("Work Order Given",$A$1,"Tender Notice No.",15)</f>
        <v>6</v>
      </c>
    </row>
    <row r="17" spans="1:11" ht="15.5">
      <c r="A17" s="25">
        <v>16</v>
      </c>
      <c r="B17" s="17">
        <v>1</v>
      </c>
      <c r="C17" s="17"/>
      <c r="D17" s="17"/>
      <c r="E17" s="17"/>
      <c r="F17" s="17"/>
      <c r="G17" s="17"/>
      <c r="H17" s="17"/>
      <c r="I17" s="17">
        <f t="shared" si="0"/>
        <v>0</v>
      </c>
      <c r="J17" s="17"/>
      <c r="K17" s="17"/>
    </row>
    <row r="18" spans="1:11" ht="15.5">
      <c r="A18" s="25">
        <v>17</v>
      </c>
      <c r="B18" s="17">
        <v>26</v>
      </c>
      <c r="C18" s="17"/>
      <c r="D18" s="17">
        <v>16</v>
      </c>
      <c r="E18" s="17">
        <v>8</v>
      </c>
      <c r="F18" s="17">
        <v>9</v>
      </c>
      <c r="G18" s="17">
        <v>13</v>
      </c>
      <c r="H18" s="17"/>
      <c r="I18" s="17">
        <f t="shared" si="0"/>
        <v>0</v>
      </c>
      <c r="J18" s="17"/>
      <c r="K18" s="17"/>
    </row>
    <row r="19" spans="1:11" ht="15.5">
      <c r="A19" s="25" t="s">
        <v>62</v>
      </c>
      <c r="B19" s="17"/>
      <c r="C19" s="17"/>
      <c r="D19" s="17"/>
      <c r="E19" s="17"/>
      <c r="F19" s="17"/>
      <c r="G19" s="17"/>
      <c r="H19" s="17"/>
      <c r="I19" s="17">
        <f t="shared" si="0"/>
        <v>0</v>
      </c>
      <c r="J19" s="17"/>
      <c r="K19" s="17"/>
    </row>
    <row r="20" spans="1:11" ht="15.5">
      <c r="A20" s="17" t="s">
        <v>42</v>
      </c>
      <c r="B20" s="17">
        <v>377</v>
      </c>
      <c r="C20" s="17">
        <v>114</v>
      </c>
      <c r="D20" s="17">
        <v>251</v>
      </c>
      <c r="E20" s="17">
        <v>61</v>
      </c>
      <c r="F20" s="17">
        <v>62</v>
      </c>
      <c r="G20" s="17">
        <v>244</v>
      </c>
      <c r="H20" s="17">
        <v>140</v>
      </c>
      <c r="I20" s="17">
        <f t="shared" si="0"/>
        <v>0</v>
      </c>
      <c r="J20" s="36"/>
    </row>
  </sheetData>
  <pageMargins left="0.7" right="0.7" top="0.75" bottom="0.75" header="0.3" footer="0.3"/>
  <pageSetup paperSize="9" orientation="landscape"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07D21-CB6D-411B-AB55-1B38D4A660F3}">
  <dimension ref="A1:B128"/>
  <sheetViews>
    <sheetView workbookViewId="0">
      <selection activeCell="B7" sqref="B7"/>
    </sheetView>
  </sheetViews>
  <sheetFormatPr defaultRowHeight="14.5"/>
  <cols>
    <col min="1" max="1" width="47.7265625" bestFit="1" customWidth="1"/>
    <col min="2" max="2" width="19.08984375" style="37" bestFit="1" customWidth="1"/>
    <col min="3" max="3" width="26.81640625" bestFit="1" customWidth="1"/>
  </cols>
  <sheetData>
    <row r="1" spans="1:2">
      <c r="A1" s="23" t="s">
        <v>181</v>
      </c>
      <c r="B1" s="37" t="s">
        <v>182</v>
      </c>
    </row>
    <row r="2" spans="1:2">
      <c r="A2" s="24" t="s">
        <v>13</v>
      </c>
      <c r="B2" s="37">
        <v>402411462.23000002</v>
      </c>
    </row>
    <row r="3" spans="1:2">
      <c r="A3" s="24" t="s">
        <v>574</v>
      </c>
      <c r="B3" s="37">
        <v>399401139.09999996</v>
      </c>
    </row>
    <row r="4" spans="1:2">
      <c r="A4" s="24" t="s">
        <v>172</v>
      </c>
      <c r="B4" s="37">
        <v>310655229.66000003</v>
      </c>
    </row>
    <row r="5" spans="1:2">
      <c r="A5" s="24" t="s">
        <v>12</v>
      </c>
      <c r="B5" s="37">
        <v>275270382.50999999</v>
      </c>
    </row>
    <row r="6" spans="1:2">
      <c r="A6" s="24" t="s">
        <v>981</v>
      </c>
      <c r="B6" s="37">
        <v>275241407.94999999</v>
      </c>
    </row>
    <row r="7" spans="1:2">
      <c r="A7" s="24" t="s">
        <v>52</v>
      </c>
      <c r="B7" s="37">
        <v>266599004.00999999</v>
      </c>
    </row>
    <row r="8" spans="1:2">
      <c r="A8" s="24" t="s">
        <v>1139</v>
      </c>
      <c r="B8" s="37">
        <v>263083286.97</v>
      </c>
    </row>
    <row r="9" spans="1:2">
      <c r="A9" s="24" t="s">
        <v>573</v>
      </c>
      <c r="B9" s="37">
        <v>258992401.19</v>
      </c>
    </row>
    <row r="10" spans="1:2">
      <c r="A10" s="24" t="s">
        <v>939</v>
      </c>
      <c r="B10" s="37">
        <v>237313161.33000001</v>
      </c>
    </row>
    <row r="11" spans="1:2">
      <c r="A11" s="24" t="s">
        <v>1000</v>
      </c>
      <c r="B11" s="37">
        <v>208760087.41</v>
      </c>
    </row>
    <row r="12" spans="1:2">
      <c r="A12" s="24" t="s">
        <v>16</v>
      </c>
      <c r="B12" s="37">
        <v>135279652.25999999</v>
      </c>
    </row>
    <row r="13" spans="1:2">
      <c r="A13" s="24" t="s">
        <v>109</v>
      </c>
      <c r="B13" s="37">
        <v>109128100.63</v>
      </c>
    </row>
    <row r="14" spans="1:2">
      <c r="A14" s="24" t="s">
        <v>176</v>
      </c>
      <c r="B14" s="37">
        <v>102621860.94999999</v>
      </c>
    </row>
    <row r="15" spans="1:2">
      <c r="A15" s="24" t="s">
        <v>178</v>
      </c>
      <c r="B15" s="37">
        <v>102536524.82000001</v>
      </c>
    </row>
    <row r="16" spans="1:2">
      <c r="A16" s="24" t="s">
        <v>53</v>
      </c>
      <c r="B16" s="37">
        <v>98817558.189999998</v>
      </c>
    </row>
    <row r="17" spans="1:2">
      <c r="A17" s="24" t="s">
        <v>136</v>
      </c>
      <c r="B17" s="37">
        <v>94929218.709999993</v>
      </c>
    </row>
    <row r="18" spans="1:2">
      <c r="A18" s="24" t="s">
        <v>315</v>
      </c>
      <c r="B18" s="37">
        <v>93831537.920000002</v>
      </c>
    </row>
    <row r="19" spans="1:2">
      <c r="A19" s="24" t="s">
        <v>188</v>
      </c>
      <c r="B19" s="37">
        <v>79281566.710000008</v>
      </c>
    </row>
    <row r="20" spans="1:2">
      <c r="A20" s="24" t="s">
        <v>829</v>
      </c>
      <c r="B20" s="37">
        <v>50961553.890000001</v>
      </c>
    </row>
    <row r="21" spans="1:2">
      <c r="A21" s="24" t="s">
        <v>1140</v>
      </c>
      <c r="B21" s="37">
        <v>48176940.189999998</v>
      </c>
    </row>
    <row r="22" spans="1:2">
      <c r="A22" s="24" t="s">
        <v>62</v>
      </c>
      <c r="B22" s="37">
        <v>39096122.259999998</v>
      </c>
    </row>
    <row r="23" spans="1:2">
      <c r="A23" s="24" t="s">
        <v>1143</v>
      </c>
      <c r="B23" s="37">
        <v>37981990.359999999</v>
      </c>
    </row>
    <row r="24" spans="1:2">
      <c r="A24" s="24" t="s">
        <v>1138</v>
      </c>
      <c r="B24" s="37">
        <v>36021837.670000002</v>
      </c>
    </row>
    <row r="25" spans="1:2">
      <c r="A25" s="24" t="s">
        <v>672</v>
      </c>
      <c r="B25" s="37">
        <v>34873347.799999997</v>
      </c>
    </row>
    <row r="26" spans="1:2">
      <c r="A26" s="24" t="s">
        <v>1141</v>
      </c>
      <c r="B26" s="37">
        <v>32695793.23</v>
      </c>
    </row>
    <row r="27" spans="1:2">
      <c r="A27" s="24" t="s">
        <v>231</v>
      </c>
      <c r="B27" s="37">
        <v>30631701.259999998</v>
      </c>
    </row>
    <row r="28" spans="1:2">
      <c r="A28" s="24" t="s">
        <v>325</v>
      </c>
      <c r="B28" s="37">
        <v>27676428.689999998</v>
      </c>
    </row>
    <row r="29" spans="1:2">
      <c r="A29" s="24" t="s">
        <v>674</v>
      </c>
      <c r="B29" s="37">
        <v>24866109.82</v>
      </c>
    </row>
    <row r="30" spans="1:2">
      <c r="A30" s="24" t="s">
        <v>229</v>
      </c>
      <c r="B30" s="37">
        <v>24471219.549999997</v>
      </c>
    </row>
    <row r="31" spans="1:2">
      <c r="A31" s="24" t="s">
        <v>15</v>
      </c>
      <c r="B31" s="37">
        <v>22036708.380000003</v>
      </c>
    </row>
    <row r="32" spans="1:2">
      <c r="A32" s="24" t="s">
        <v>949</v>
      </c>
      <c r="B32" s="37">
        <v>21884441.09</v>
      </c>
    </row>
    <row r="33" spans="1:2">
      <c r="A33" s="24" t="s">
        <v>779</v>
      </c>
      <c r="B33" s="37">
        <v>20902828.879999999</v>
      </c>
    </row>
    <row r="34" spans="1:2">
      <c r="A34" s="24" t="s">
        <v>338</v>
      </c>
      <c r="B34" s="37">
        <v>20681736.219999999</v>
      </c>
    </row>
    <row r="35" spans="1:2">
      <c r="A35" s="24" t="s">
        <v>564</v>
      </c>
      <c r="B35" s="37">
        <v>19821781.309999999</v>
      </c>
    </row>
    <row r="36" spans="1:2">
      <c r="A36" s="24" t="s">
        <v>982</v>
      </c>
      <c r="B36" s="37">
        <v>18761838.629999999</v>
      </c>
    </row>
    <row r="37" spans="1:2">
      <c r="A37" s="24" t="s">
        <v>337</v>
      </c>
      <c r="B37" s="37">
        <v>18477696.719999999</v>
      </c>
    </row>
    <row r="38" spans="1:2">
      <c r="A38" s="24" t="s">
        <v>175</v>
      </c>
      <c r="B38" s="37">
        <v>18437865.030000001</v>
      </c>
    </row>
    <row r="39" spans="1:2">
      <c r="A39" s="24" t="s">
        <v>180</v>
      </c>
      <c r="B39" s="37">
        <v>16899339.219999999</v>
      </c>
    </row>
    <row r="40" spans="1:2">
      <c r="A40" s="24" t="s">
        <v>842</v>
      </c>
      <c r="B40" s="37">
        <v>15522796.809999999</v>
      </c>
    </row>
    <row r="41" spans="1:2">
      <c r="A41" s="24" t="s">
        <v>248</v>
      </c>
      <c r="B41" s="37">
        <v>14121179.24</v>
      </c>
    </row>
    <row r="42" spans="1:2">
      <c r="A42" s="24" t="s">
        <v>673</v>
      </c>
      <c r="B42" s="37">
        <v>12333302.049999999</v>
      </c>
    </row>
    <row r="43" spans="1:2">
      <c r="A43" s="24" t="s">
        <v>565</v>
      </c>
      <c r="B43" s="37">
        <v>11667294.23</v>
      </c>
    </row>
    <row r="44" spans="1:2">
      <c r="A44" s="24" t="s">
        <v>1137</v>
      </c>
      <c r="B44" s="37">
        <v>11566520.23</v>
      </c>
    </row>
    <row r="45" spans="1:2">
      <c r="A45" s="24" t="s">
        <v>1003</v>
      </c>
      <c r="B45" s="37">
        <v>11563314.5</v>
      </c>
    </row>
    <row r="46" spans="1:2">
      <c r="A46" s="24" t="s">
        <v>237</v>
      </c>
      <c r="B46" s="37">
        <v>11465501.838644</v>
      </c>
    </row>
    <row r="47" spans="1:2">
      <c r="A47" s="24" t="s">
        <v>334</v>
      </c>
      <c r="B47" s="37">
        <v>11172724.310000001</v>
      </c>
    </row>
    <row r="48" spans="1:2">
      <c r="A48" s="24" t="s">
        <v>331</v>
      </c>
      <c r="B48" s="37">
        <v>10991779.370000001</v>
      </c>
    </row>
    <row r="49" spans="1:2">
      <c r="A49" s="24" t="s">
        <v>179</v>
      </c>
      <c r="B49" s="37">
        <v>10662788.140000001</v>
      </c>
    </row>
    <row r="50" spans="1:2">
      <c r="A50" s="24" t="s">
        <v>143</v>
      </c>
      <c r="B50" s="37">
        <v>10462711.199999999</v>
      </c>
    </row>
    <row r="51" spans="1:2">
      <c r="A51" s="24" t="s">
        <v>352</v>
      </c>
      <c r="B51" s="37">
        <v>10350796.84</v>
      </c>
    </row>
    <row r="52" spans="1:2">
      <c r="A52" s="24" t="s">
        <v>127</v>
      </c>
      <c r="B52" s="37">
        <v>10247048.09</v>
      </c>
    </row>
    <row r="53" spans="1:2">
      <c r="A53" s="24" t="s">
        <v>339</v>
      </c>
      <c r="B53" s="37">
        <v>10005386.859999999</v>
      </c>
    </row>
    <row r="54" spans="1:2">
      <c r="A54" s="24" t="s">
        <v>132</v>
      </c>
      <c r="B54" s="37">
        <v>9938740.0899999999</v>
      </c>
    </row>
    <row r="55" spans="1:2">
      <c r="A55" s="24" t="s">
        <v>349</v>
      </c>
      <c r="B55" s="37">
        <v>9102003.9000000004</v>
      </c>
    </row>
    <row r="56" spans="1:2">
      <c r="A56" s="24" t="s">
        <v>4</v>
      </c>
      <c r="B56" s="37">
        <v>8795331.3300000001</v>
      </c>
    </row>
    <row r="57" spans="1:2">
      <c r="A57" s="24" t="s">
        <v>332</v>
      </c>
      <c r="B57" s="37">
        <v>8111718.7400000002</v>
      </c>
    </row>
    <row r="58" spans="1:2">
      <c r="A58" s="24" t="s">
        <v>47</v>
      </c>
      <c r="B58" s="37">
        <v>8032501.2899999991</v>
      </c>
    </row>
    <row r="59" spans="1:2">
      <c r="A59" s="24" t="s">
        <v>849</v>
      </c>
      <c r="B59" s="37">
        <v>7809349.9000000004</v>
      </c>
    </row>
    <row r="60" spans="1:2">
      <c r="A60" s="24" t="s">
        <v>330</v>
      </c>
      <c r="B60" s="37">
        <v>7663104.8100000005</v>
      </c>
    </row>
    <row r="61" spans="1:2">
      <c r="A61" s="24" t="s">
        <v>770</v>
      </c>
      <c r="B61" s="37">
        <v>7356963.8300000001</v>
      </c>
    </row>
    <row r="62" spans="1:2">
      <c r="A62" s="24" t="s">
        <v>844</v>
      </c>
      <c r="B62" s="37">
        <v>7261802.1699999999</v>
      </c>
    </row>
    <row r="63" spans="1:2">
      <c r="A63" s="24" t="s">
        <v>351</v>
      </c>
      <c r="B63" s="37">
        <v>7001197.71</v>
      </c>
    </row>
    <row r="64" spans="1:2">
      <c r="A64" s="24" t="s">
        <v>342</v>
      </c>
      <c r="B64" s="37">
        <v>6814714.7400000002</v>
      </c>
    </row>
    <row r="65" spans="1:2">
      <c r="A65" s="24" t="s">
        <v>1007</v>
      </c>
      <c r="B65" s="37">
        <v>6379977.0199999996</v>
      </c>
    </row>
    <row r="66" spans="1:2">
      <c r="A66" s="24" t="s">
        <v>1014</v>
      </c>
      <c r="B66" s="37">
        <v>5955350.8700000001</v>
      </c>
    </row>
    <row r="67" spans="1:2">
      <c r="A67" s="24" t="s">
        <v>983</v>
      </c>
      <c r="B67" s="37">
        <v>5951334.54</v>
      </c>
    </row>
    <row r="68" spans="1:2">
      <c r="A68" s="24" t="s">
        <v>242</v>
      </c>
      <c r="B68" s="37">
        <v>5908055.5999999996</v>
      </c>
    </row>
    <row r="69" spans="1:2">
      <c r="A69" s="24" t="s">
        <v>244</v>
      </c>
      <c r="B69" s="37">
        <v>5870124.4000000004</v>
      </c>
    </row>
    <row r="70" spans="1:2">
      <c r="A70" s="24" t="s">
        <v>561</v>
      </c>
      <c r="B70" s="37">
        <v>5806346.7699999996</v>
      </c>
    </row>
    <row r="71" spans="1:2">
      <c r="A71" s="24" t="s">
        <v>122</v>
      </c>
      <c r="B71" s="37">
        <v>5754643.5300000003</v>
      </c>
    </row>
    <row r="72" spans="1:2">
      <c r="A72" s="24" t="s">
        <v>340</v>
      </c>
      <c r="B72" s="37">
        <v>5673854.9800000004</v>
      </c>
    </row>
    <row r="73" spans="1:2">
      <c r="A73" s="24" t="s">
        <v>341</v>
      </c>
      <c r="B73" s="37">
        <v>5097076.03</v>
      </c>
    </row>
    <row r="74" spans="1:2">
      <c r="A74" s="24" t="s">
        <v>350</v>
      </c>
      <c r="B74" s="37">
        <v>4813014.3</v>
      </c>
    </row>
    <row r="75" spans="1:2">
      <c r="A75" s="24" t="s">
        <v>550</v>
      </c>
      <c r="B75" s="37">
        <v>4734103.3900000006</v>
      </c>
    </row>
    <row r="76" spans="1:2">
      <c r="A76" s="24" t="s">
        <v>333</v>
      </c>
      <c r="B76" s="37">
        <v>4540017.7</v>
      </c>
    </row>
    <row r="77" spans="1:2">
      <c r="A77" s="24" t="s">
        <v>353</v>
      </c>
      <c r="B77" s="37">
        <v>4406050.7300000004</v>
      </c>
    </row>
    <row r="78" spans="1:2">
      <c r="A78" s="24" t="s">
        <v>335</v>
      </c>
      <c r="B78" s="37">
        <v>4155710.28</v>
      </c>
    </row>
    <row r="79" spans="1:2">
      <c r="A79" s="24" t="s">
        <v>782</v>
      </c>
      <c r="B79" s="37">
        <v>4090510.54</v>
      </c>
    </row>
    <row r="80" spans="1:2">
      <c r="A80" s="24" t="s">
        <v>346</v>
      </c>
      <c r="B80" s="37">
        <v>4013026.74</v>
      </c>
    </row>
    <row r="81" spans="1:2">
      <c r="A81" s="24" t="s">
        <v>345</v>
      </c>
      <c r="B81" s="37">
        <v>3934613.1900000004</v>
      </c>
    </row>
    <row r="82" spans="1:2">
      <c r="A82" s="24" t="s">
        <v>569</v>
      </c>
      <c r="B82" s="37">
        <v>3929087.63</v>
      </c>
    </row>
    <row r="83" spans="1:2">
      <c r="A83" s="24" t="s">
        <v>344</v>
      </c>
      <c r="B83" s="37">
        <v>3870967.1799999997</v>
      </c>
    </row>
    <row r="84" spans="1:2">
      <c r="A84" s="24" t="s">
        <v>348</v>
      </c>
      <c r="B84" s="37">
        <v>3854119.7</v>
      </c>
    </row>
    <row r="85" spans="1:2">
      <c r="A85" s="24" t="s">
        <v>633</v>
      </c>
      <c r="B85" s="37">
        <v>3832072.4</v>
      </c>
    </row>
    <row r="86" spans="1:2">
      <c r="A86" s="24" t="s">
        <v>851</v>
      </c>
      <c r="B86" s="37">
        <v>3799025.84</v>
      </c>
    </row>
    <row r="87" spans="1:2">
      <c r="A87" s="24" t="s">
        <v>1033</v>
      </c>
      <c r="B87" s="37">
        <v>3643628.2</v>
      </c>
    </row>
    <row r="88" spans="1:2">
      <c r="A88" s="24" t="s">
        <v>987</v>
      </c>
      <c r="B88" s="37">
        <v>3616052.36</v>
      </c>
    </row>
    <row r="89" spans="1:2">
      <c r="A89" s="24" t="s">
        <v>847</v>
      </c>
      <c r="B89" s="37">
        <v>3612951.12</v>
      </c>
    </row>
    <row r="90" spans="1:2">
      <c r="A90" s="24" t="s">
        <v>846</v>
      </c>
      <c r="B90" s="37">
        <v>3526529.73</v>
      </c>
    </row>
    <row r="91" spans="1:2">
      <c r="A91" s="24" t="s">
        <v>850</v>
      </c>
      <c r="B91" s="37">
        <v>2979051.45</v>
      </c>
    </row>
    <row r="92" spans="1:2">
      <c r="A92" s="24" t="s">
        <v>985</v>
      </c>
      <c r="B92" s="37">
        <v>2948625.67</v>
      </c>
    </row>
    <row r="93" spans="1:2">
      <c r="A93" s="24" t="s">
        <v>1031</v>
      </c>
      <c r="B93" s="37">
        <v>2849144.4000000004</v>
      </c>
    </row>
    <row r="94" spans="1:2">
      <c r="A94" s="24" t="s">
        <v>977</v>
      </c>
      <c r="B94" s="37">
        <v>2801276.9699999997</v>
      </c>
    </row>
    <row r="95" spans="1:2">
      <c r="A95" s="24" t="s">
        <v>1079</v>
      </c>
      <c r="B95" s="37">
        <v>2777105.8</v>
      </c>
    </row>
    <row r="96" spans="1:2">
      <c r="A96" s="24" t="s">
        <v>568</v>
      </c>
      <c r="B96" s="37">
        <v>2525295.33</v>
      </c>
    </row>
    <row r="97" spans="1:2">
      <c r="A97" s="24" t="s">
        <v>119</v>
      </c>
      <c r="B97" s="37">
        <v>2222960.92</v>
      </c>
    </row>
    <row r="98" spans="1:2">
      <c r="A98" s="24" t="s">
        <v>560</v>
      </c>
      <c r="B98" s="37">
        <v>2079935.08</v>
      </c>
    </row>
    <row r="99" spans="1:2">
      <c r="A99" s="24" t="s">
        <v>99</v>
      </c>
      <c r="B99" s="37">
        <v>2063483.55</v>
      </c>
    </row>
    <row r="100" spans="1:2">
      <c r="A100" s="24" t="s">
        <v>567</v>
      </c>
      <c r="B100" s="37">
        <v>2049825.92</v>
      </c>
    </row>
    <row r="101" spans="1:2">
      <c r="A101" s="24" t="s">
        <v>563</v>
      </c>
      <c r="B101" s="37">
        <v>2015249.1</v>
      </c>
    </row>
    <row r="102" spans="1:2">
      <c r="A102" s="24" t="s">
        <v>212</v>
      </c>
      <c r="B102" s="37">
        <v>2013544</v>
      </c>
    </row>
    <row r="103" spans="1:2">
      <c r="A103" s="24" t="s">
        <v>676</v>
      </c>
      <c r="B103" s="37">
        <v>1979682.21</v>
      </c>
    </row>
    <row r="104" spans="1:2">
      <c r="A104" s="24" t="s">
        <v>566</v>
      </c>
      <c r="B104" s="37">
        <v>1954514.99</v>
      </c>
    </row>
    <row r="105" spans="1:2">
      <c r="A105" s="24" t="s">
        <v>347</v>
      </c>
      <c r="B105" s="37">
        <v>1934339.62</v>
      </c>
    </row>
    <row r="106" spans="1:2">
      <c r="A106" s="24" t="s">
        <v>853</v>
      </c>
      <c r="B106" s="37">
        <v>1922358.77</v>
      </c>
    </row>
    <row r="107" spans="1:2">
      <c r="A107" s="24" t="s">
        <v>843</v>
      </c>
      <c r="B107" s="37">
        <v>1913540.34</v>
      </c>
    </row>
    <row r="108" spans="1:2">
      <c r="A108" s="24" t="s">
        <v>534</v>
      </c>
      <c r="B108" s="37">
        <v>1897940.76</v>
      </c>
    </row>
    <row r="109" spans="1:2">
      <c r="A109" s="24" t="s">
        <v>845</v>
      </c>
      <c r="B109" s="37">
        <v>1891553.06</v>
      </c>
    </row>
    <row r="110" spans="1:2">
      <c r="A110" s="24" t="s">
        <v>781</v>
      </c>
      <c r="B110" s="37">
        <v>1877855.36</v>
      </c>
    </row>
    <row r="111" spans="1:2">
      <c r="A111" s="24" t="s">
        <v>343</v>
      </c>
      <c r="B111" s="37">
        <v>1869237.66</v>
      </c>
    </row>
    <row r="112" spans="1:2">
      <c r="A112" s="24" t="s">
        <v>336</v>
      </c>
      <c r="B112" s="37">
        <v>1864689.36</v>
      </c>
    </row>
    <row r="113" spans="1:2">
      <c r="A113" s="24" t="s">
        <v>990</v>
      </c>
      <c r="B113" s="37">
        <v>1860954.1</v>
      </c>
    </row>
    <row r="114" spans="1:2">
      <c r="A114" s="24" t="s">
        <v>852</v>
      </c>
      <c r="B114" s="37">
        <v>1833869.89</v>
      </c>
    </row>
    <row r="115" spans="1:2">
      <c r="A115" s="24" t="s">
        <v>1080</v>
      </c>
      <c r="B115" s="37">
        <v>1833390.22</v>
      </c>
    </row>
    <row r="116" spans="1:2">
      <c r="A116" s="24" t="s">
        <v>848</v>
      </c>
      <c r="B116" s="37">
        <v>1768776.85</v>
      </c>
    </row>
    <row r="117" spans="1:2">
      <c r="A117" s="24" t="s">
        <v>1102</v>
      </c>
      <c r="B117" s="37">
        <v>1745417.72</v>
      </c>
    </row>
    <row r="118" spans="1:2">
      <c r="A118" s="24" t="s">
        <v>364</v>
      </c>
      <c r="B118" s="37">
        <v>1547490.62</v>
      </c>
    </row>
    <row r="119" spans="1:2">
      <c r="A119" s="24" t="s">
        <v>128</v>
      </c>
      <c r="B119" s="37">
        <v>1542064.85</v>
      </c>
    </row>
    <row r="120" spans="1:2">
      <c r="A120" s="24" t="s">
        <v>677</v>
      </c>
      <c r="B120" s="37">
        <v>1458103.8</v>
      </c>
    </row>
    <row r="121" spans="1:2">
      <c r="A121" s="24" t="s">
        <v>1142</v>
      </c>
      <c r="B121" s="37">
        <v>1114911.1299999999</v>
      </c>
    </row>
    <row r="122" spans="1:2">
      <c r="A122" s="24" t="s">
        <v>1078</v>
      </c>
      <c r="B122" s="37">
        <v>1048830.1499999999</v>
      </c>
    </row>
    <row r="123" spans="1:2">
      <c r="A123" s="24" t="s">
        <v>1032</v>
      </c>
      <c r="B123" s="37">
        <v>951538.91</v>
      </c>
    </row>
    <row r="124" spans="1:2">
      <c r="A124" s="24" t="s">
        <v>778</v>
      </c>
      <c r="B124" s="37">
        <v>944354.8</v>
      </c>
    </row>
    <row r="125" spans="1:2">
      <c r="A125" s="24" t="s">
        <v>1034</v>
      </c>
      <c r="B125" s="37">
        <v>905830.38</v>
      </c>
    </row>
    <row r="126" spans="1:2">
      <c r="A126" s="24" t="s">
        <v>780</v>
      </c>
      <c r="B126" s="37">
        <v>722180.27</v>
      </c>
    </row>
    <row r="127" spans="1:2">
      <c r="A127" s="24" t="s">
        <v>118</v>
      </c>
      <c r="B127" s="37">
        <v>659085.79</v>
      </c>
    </row>
    <row r="128" spans="1:2">
      <c r="A128" s="24" t="s">
        <v>42</v>
      </c>
      <c r="B128" s="37">
        <v>4718667689.5386448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D3D7A-55C1-45A8-8E9A-7A52941A35AB}">
  <dimension ref="A1:B10"/>
  <sheetViews>
    <sheetView workbookViewId="0">
      <selection activeCell="B5" sqref="B5"/>
    </sheetView>
  </sheetViews>
  <sheetFormatPr defaultRowHeight="14.5"/>
  <cols>
    <col min="1" max="1" width="12.36328125" bestFit="1" customWidth="1"/>
    <col min="2" max="2" width="19.08984375" bestFit="1" customWidth="1"/>
  </cols>
  <sheetData>
    <row r="1" spans="1:2">
      <c r="A1" s="23" t="s">
        <v>181</v>
      </c>
      <c r="B1" t="s">
        <v>182</v>
      </c>
    </row>
    <row r="2" spans="1:2">
      <c r="A2" s="24" t="s">
        <v>0</v>
      </c>
      <c r="B2" s="37">
        <v>845778302.27999997</v>
      </c>
    </row>
    <row r="3" spans="1:2">
      <c r="A3" s="24" t="s">
        <v>10</v>
      </c>
      <c r="B3" s="37">
        <v>715019152.9400003</v>
      </c>
    </row>
    <row r="4" spans="1:2">
      <c r="A4" s="24" t="s">
        <v>11</v>
      </c>
      <c r="B4" s="37">
        <v>293227898.65999997</v>
      </c>
    </row>
    <row r="5" spans="1:2">
      <c r="A5" s="24" t="s">
        <v>2</v>
      </c>
      <c r="B5" s="37">
        <v>279199539.73999989</v>
      </c>
    </row>
    <row r="6" spans="1:2">
      <c r="A6" s="24" t="s">
        <v>9</v>
      </c>
      <c r="B6" s="37">
        <v>228614203.05999994</v>
      </c>
    </row>
    <row r="7" spans="1:2">
      <c r="A7" s="24" t="s">
        <v>3</v>
      </c>
      <c r="B7" s="37">
        <v>150772811.80999997</v>
      </c>
    </row>
    <row r="8" spans="1:2">
      <c r="A8" s="24" t="s">
        <v>808</v>
      </c>
      <c r="B8" s="37">
        <v>1458103.8</v>
      </c>
    </row>
    <row r="9" spans="1:2">
      <c r="A9" s="24" t="s">
        <v>62</v>
      </c>
      <c r="B9" s="37"/>
    </row>
    <row r="10" spans="1:2">
      <c r="A10" s="24" t="s">
        <v>42</v>
      </c>
      <c r="B10" s="37">
        <v>2514070012.29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Contractor List</vt:lpstr>
      <vt:lpstr>Tender</vt:lpstr>
      <vt:lpstr>Sheet1</vt:lpstr>
      <vt:lpstr>Notice wise</vt:lpstr>
      <vt:lpstr>Agency wise</vt:lpstr>
      <vt:lpstr>Sub Division wise</vt:lpstr>
      <vt:lpstr>Tender!Print_Area</vt:lpstr>
      <vt:lpstr>Tender!Print_Titles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SITARAM</dc:creator>
  <cp:lastModifiedBy>Ravi Kunvariya</cp:lastModifiedBy>
  <cp:lastPrinted>2026-06-16T09:59:18Z</cp:lastPrinted>
  <dcterms:created xsi:type="dcterms:W3CDTF">2015-06-05T18:17:20Z</dcterms:created>
  <dcterms:modified xsi:type="dcterms:W3CDTF">2026-06-20T07:42:02Z</dcterms:modified>
</cp:coreProperties>
</file>